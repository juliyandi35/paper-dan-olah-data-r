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Kerjaan\Project Paper dan Olah Data kak Mitha\"/>
    </mc:Choice>
  </mc:AlternateContent>
  <xr:revisionPtr revIDLastSave="0" documentId="13_ncr:1_{813F9A14-999C-4837-8708-02611F44B3C2}" xr6:coauthVersionLast="47" xr6:coauthVersionMax="47" xr10:uidLastSave="{00000000-0000-0000-0000-000000000000}"/>
  <bookViews>
    <workbookView xWindow="-110" yWindow="-110" windowWidth="19420" windowHeight="10300" firstSheet="1" activeTab="3" xr2:uid="{18E4CC21-85D7-4967-9EA6-0E3314B40020}"/>
  </bookViews>
  <sheets>
    <sheet name="Data Ri Aset" sheetId="1" r:id="rId1"/>
    <sheet name="Data Makro Bulanan" sheetId="15" r:id="rId2"/>
    <sheet name="Independent Variables" sheetId="19" r:id="rId3"/>
    <sheet name="Rf" sheetId="2" r:id="rId4"/>
    <sheet name="Data Siap" sheetId="6" r:id="rId5"/>
    <sheet name="Market Data" sheetId="1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E80" i="16"/>
  <c r="D80" i="16"/>
  <c r="C80" i="16"/>
  <c r="B80" i="16"/>
  <c r="E79" i="16"/>
  <c r="D79" i="16"/>
  <c r="C79" i="16"/>
  <c r="B79" i="16"/>
  <c r="E78" i="16"/>
  <c r="D78" i="16"/>
  <c r="C78" i="16"/>
  <c r="B78" i="16"/>
  <c r="E77" i="16"/>
  <c r="D77" i="16"/>
  <c r="C77" i="16"/>
  <c r="B77" i="16"/>
  <c r="E76" i="16"/>
  <c r="D76" i="16"/>
  <c r="C76" i="16"/>
  <c r="B76" i="16"/>
  <c r="E75" i="16"/>
  <c r="D75" i="16"/>
  <c r="C75" i="16"/>
  <c r="B75" i="16"/>
  <c r="E74" i="16"/>
  <c r="D74" i="16"/>
  <c r="C74" i="16"/>
  <c r="B74" i="16"/>
  <c r="E73" i="16"/>
  <c r="D73" i="16"/>
  <c r="C73" i="16"/>
  <c r="B73" i="16"/>
  <c r="E72" i="16"/>
  <c r="D72" i="16"/>
  <c r="C72" i="16"/>
  <c r="B72" i="16"/>
  <c r="E71" i="16"/>
  <c r="D71" i="16"/>
  <c r="C71" i="16"/>
  <c r="B71" i="16"/>
  <c r="E70" i="16"/>
  <c r="D70" i="16"/>
  <c r="C70" i="16"/>
  <c r="B70" i="16"/>
  <c r="E69" i="16"/>
  <c r="D69" i="16"/>
  <c r="C69" i="16"/>
  <c r="B69" i="16"/>
  <c r="E68" i="16"/>
  <c r="D68" i="16"/>
  <c r="C68" i="16"/>
  <c r="B68" i="16"/>
  <c r="E67" i="16"/>
  <c r="D67" i="16"/>
  <c r="C67" i="16"/>
  <c r="B67" i="16"/>
  <c r="E66" i="16"/>
  <c r="D66" i="16"/>
  <c r="C66" i="16"/>
  <c r="B66" i="16"/>
  <c r="E65" i="16"/>
  <c r="D65" i="16"/>
  <c r="C65" i="16"/>
  <c r="B65" i="16"/>
  <c r="E64" i="16"/>
  <c r="D64" i="16"/>
  <c r="C64" i="16"/>
  <c r="B64" i="16"/>
  <c r="E63" i="16"/>
  <c r="D63" i="16"/>
  <c r="C63" i="16"/>
  <c r="B63" i="16"/>
  <c r="E62" i="16"/>
  <c r="D62" i="16"/>
  <c r="C62" i="16"/>
  <c r="B62" i="16"/>
  <c r="E61" i="16"/>
  <c r="D61" i="16"/>
  <c r="C61" i="16"/>
  <c r="B61" i="16"/>
  <c r="E60" i="16"/>
  <c r="D60" i="16"/>
  <c r="C60" i="16"/>
  <c r="B60" i="16"/>
  <c r="E59" i="16"/>
  <c r="D59" i="16"/>
  <c r="C59" i="16"/>
  <c r="B59" i="16"/>
  <c r="E58" i="16"/>
  <c r="D58" i="16"/>
  <c r="C58" i="16"/>
  <c r="B58" i="16"/>
  <c r="E57" i="16"/>
  <c r="D57" i="16"/>
  <c r="C57" i="16"/>
  <c r="B57" i="16"/>
  <c r="E56" i="16"/>
  <c r="D56" i="16"/>
  <c r="C56" i="16"/>
  <c r="B56" i="16"/>
  <c r="E55" i="16"/>
  <c r="D55" i="16"/>
  <c r="C55" i="16"/>
  <c r="B55" i="16"/>
  <c r="E54" i="16"/>
  <c r="D54" i="16"/>
  <c r="C54" i="16"/>
  <c r="B54" i="16"/>
  <c r="E53" i="16"/>
  <c r="D53" i="16"/>
  <c r="C53" i="16"/>
  <c r="B53" i="16"/>
  <c r="E52" i="16"/>
  <c r="D52" i="16"/>
  <c r="C52" i="16"/>
  <c r="B52" i="16"/>
  <c r="E51" i="16"/>
  <c r="D51" i="16"/>
  <c r="C51" i="16"/>
  <c r="B51" i="16"/>
  <c r="E50" i="16"/>
  <c r="D50" i="16"/>
  <c r="C50" i="16"/>
  <c r="B50" i="16"/>
  <c r="E49" i="16"/>
  <c r="D49" i="16"/>
  <c r="C49" i="16"/>
  <c r="B49" i="16"/>
  <c r="E48" i="16"/>
  <c r="D48" i="16"/>
  <c r="C48" i="16"/>
  <c r="B48" i="16"/>
  <c r="E47" i="16"/>
  <c r="D47" i="16"/>
  <c r="C47" i="16"/>
  <c r="B47" i="16"/>
  <c r="E46" i="16"/>
  <c r="D46" i="16"/>
  <c r="C46" i="16"/>
  <c r="B46" i="16"/>
  <c r="E45" i="16"/>
  <c r="D45" i="16"/>
  <c r="C45" i="16"/>
  <c r="B45" i="16"/>
  <c r="E44" i="16"/>
  <c r="D44" i="16"/>
  <c r="C44" i="16"/>
  <c r="B44" i="16"/>
  <c r="E43" i="16"/>
  <c r="D43" i="16"/>
  <c r="C43" i="16"/>
  <c r="B43" i="16"/>
  <c r="E42" i="16"/>
  <c r="D42" i="16"/>
  <c r="C42" i="16"/>
  <c r="B42" i="16"/>
  <c r="E41" i="16"/>
  <c r="D41" i="16"/>
  <c r="C41" i="16"/>
  <c r="B41" i="16"/>
  <c r="E40" i="16"/>
  <c r="D40" i="16"/>
  <c r="C40" i="16"/>
  <c r="B40" i="16"/>
  <c r="E39" i="16"/>
  <c r="D39" i="16"/>
  <c r="C39" i="16"/>
  <c r="B39" i="16"/>
  <c r="E38" i="16"/>
  <c r="D38" i="16"/>
  <c r="C38" i="16"/>
  <c r="B38" i="16"/>
  <c r="E37" i="16"/>
  <c r="D37" i="16"/>
  <c r="C37" i="16"/>
  <c r="B37" i="16"/>
  <c r="E36" i="16"/>
  <c r="D36" i="16"/>
  <c r="C36" i="16"/>
  <c r="B36" i="16"/>
  <c r="E35" i="16"/>
  <c r="D35" i="16"/>
  <c r="C35" i="16"/>
  <c r="B35" i="16"/>
  <c r="E34" i="16"/>
  <c r="D34" i="16"/>
  <c r="C34" i="16"/>
  <c r="B34" i="16"/>
  <c r="E33" i="16"/>
  <c r="D33" i="16"/>
  <c r="C33" i="16"/>
  <c r="B33" i="16"/>
  <c r="E32" i="16"/>
  <c r="D32" i="16"/>
  <c r="C32" i="16"/>
  <c r="B32" i="16"/>
  <c r="E31" i="16"/>
  <c r="D31" i="16"/>
  <c r="C31" i="16"/>
  <c r="B31" i="16"/>
  <c r="E30" i="16"/>
  <c r="D30" i="16"/>
  <c r="C30" i="16"/>
  <c r="B30" i="16"/>
  <c r="E29" i="16"/>
  <c r="D29" i="16"/>
  <c r="C29" i="16"/>
  <c r="B29" i="16"/>
  <c r="E28" i="16"/>
  <c r="D28" i="16"/>
  <c r="C28" i="16"/>
  <c r="B28" i="16"/>
  <c r="E27" i="16"/>
  <c r="D27" i="16"/>
  <c r="C27" i="16"/>
  <c r="B27" i="16"/>
  <c r="E26" i="16"/>
  <c r="D26" i="16"/>
  <c r="C26" i="16"/>
  <c r="B26" i="16"/>
  <c r="E25" i="16"/>
  <c r="D25" i="16"/>
  <c r="C25" i="16"/>
  <c r="B25" i="16"/>
  <c r="E24" i="16"/>
  <c r="D24" i="16"/>
  <c r="C24" i="16"/>
  <c r="B24" i="16"/>
  <c r="E23" i="16"/>
  <c r="D23" i="16"/>
  <c r="C23" i="16"/>
  <c r="B23" i="16"/>
  <c r="E22" i="16"/>
  <c r="D22" i="16"/>
  <c r="C22" i="16"/>
  <c r="B22" i="16"/>
  <c r="E21" i="16"/>
  <c r="D21" i="16"/>
  <c r="C21" i="16"/>
  <c r="B21" i="16"/>
  <c r="E20" i="16"/>
  <c r="D20" i="16"/>
  <c r="C20" i="16"/>
  <c r="B20" i="16"/>
  <c r="E19" i="16"/>
  <c r="D19" i="16"/>
  <c r="C19" i="16"/>
  <c r="B19" i="16"/>
  <c r="E18" i="16"/>
  <c r="D18" i="16"/>
  <c r="C18" i="16"/>
  <c r="B18" i="16"/>
  <c r="E17" i="16"/>
  <c r="D17" i="16"/>
  <c r="C17" i="16"/>
  <c r="B17" i="16"/>
  <c r="E16" i="16"/>
  <c r="D16" i="16"/>
  <c r="C16" i="16"/>
  <c r="B16" i="16"/>
  <c r="E15" i="16"/>
  <c r="D15" i="16"/>
  <c r="C15" i="16"/>
  <c r="B15" i="16"/>
  <c r="E14" i="16"/>
  <c r="D14" i="16"/>
  <c r="C14" i="16"/>
  <c r="B14" i="16"/>
  <c r="E13" i="16"/>
  <c r="D13" i="16"/>
  <c r="C13" i="16"/>
  <c r="B13" i="16"/>
  <c r="E12" i="16"/>
  <c r="D12" i="16"/>
  <c r="C12" i="16"/>
  <c r="B12" i="16"/>
  <c r="E11" i="16"/>
  <c r="D11" i="16"/>
  <c r="C11" i="16"/>
  <c r="B11" i="16"/>
  <c r="E10" i="16"/>
  <c r="D10" i="16"/>
  <c r="C10" i="16"/>
  <c r="B10" i="16"/>
  <c r="E9" i="16"/>
  <c r="D9" i="16"/>
  <c r="C9" i="16"/>
  <c r="B9" i="16"/>
  <c r="E8" i="16"/>
  <c r="D8" i="16"/>
  <c r="C8" i="16"/>
  <c r="B8" i="16"/>
  <c r="E7" i="16"/>
  <c r="D7" i="16"/>
  <c r="C7" i="16"/>
  <c r="B7" i="16"/>
  <c r="E6" i="16"/>
  <c r="D6" i="16"/>
  <c r="C6" i="16"/>
  <c r="B6" i="16"/>
  <c r="E5" i="16"/>
  <c r="D5" i="16"/>
  <c r="C5" i="16"/>
  <c r="B5" i="16"/>
  <c r="E4" i="16"/>
  <c r="D4" i="16"/>
  <c r="C4" i="16"/>
  <c r="B4" i="16"/>
  <c r="E3" i="16"/>
  <c r="D3" i="16"/>
  <c r="C3" i="16"/>
  <c r="B3" i="16"/>
  <c r="E2" i="16"/>
  <c r="D2" i="16"/>
  <c r="C2" i="16"/>
  <c r="B2" i="16"/>
  <c r="I80" i="6"/>
  <c r="I79" i="6"/>
  <c r="I78" i="6"/>
  <c r="I77" i="6"/>
  <c r="I76" i="6"/>
  <c r="I75" i="6"/>
  <c r="I74" i="6"/>
  <c r="I73" i="6"/>
  <c r="H80" i="6"/>
  <c r="G80" i="6"/>
  <c r="F80" i="6"/>
  <c r="H79" i="6"/>
  <c r="G79" i="6"/>
  <c r="F79" i="6"/>
  <c r="H78" i="6"/>
  <c r="G78" i="6"/>
  <c r="F78" i="6"/>
  <c r="H77" i="6"/>
  <c r="G77" i="6"/>
  <c r="F77" i="6"/>
  <c r="H76" i="6"/>
  <c r="G76" i="6"/>
  <c r="F76" i="6"/>
  <c r="H75" i="6"/>
  <c r="G75" i="6"/>
  <c r="F75" i="6"/>
  <c r="H74" i="6"/>
  <c r="G74" i="6"/>
  <c r="F74" i="6"/>
  <c r="H73" i="6"/>
  <c r="G73" i="6"/>
  <c r="F73" i="6"/>
  <c r="H72" i="6"/>
  <c r="G72" i="6"/>
  <c r="F72" i="6"/>
  <c r="H71" i="6"/>
  <c r="G71" i="6"/>
  <c r="F71" i="6"/>
  <c r="H70" i="6"/>
  <c r="G70" i="6"/>
  <c r="F70" i="6"/>
  <c r="H69" i="6"/>
  <c r="G69" i="6"/>
  <c r="F69" i="6"/>
  <c r="H68" i="6"/>
  <c r="G68" i="6"/>
  <c r="F68" i="6"/>
  <c r="H67" i="6"/>
  <c r="G67" i="6"/>
  <c r="F67" i="6"/>
  <c r="H66" i="6"/>
  <c r="G66" i="6"/>
  <c r="F66" i="6"/>
  <c r="H65" i="6"/>
  <c r="G65" i="6"/>
  <c r="F65" i="6"/>
  <c r="H64" i="6"/>
  <c r="G64" i="6"/>
  <c r="F64" i="6"/>
  <c r="H63" i="6"/>
  <c r="G63" i="6"/>
  <c r="F63" i="6"/>
  <c r="H62" i="6"/>
  <c r="G62" i="6"/>
  <c r="F62" i="6"/>
  <c r="H61" i="6"/>
  <c r="G61" i="6"/>
  <c r="F61" i="6"/>
  <c r="H60" i="6"/>
  <c r="G60" i="6"/>
  <c r="F60" i="6"/>
  <c r="H59" i="6"/>
  <c r="G59" i="6"/>
  <c r="F59" i="6"/>
  <c r="H58" i="6"/>
  <c r="G58" i="6"/>
  <c r="F58" i="6"/>
  <c r="H57" i="6"/>
  <c r="G57" i="6"/>
  <c r="F57" i="6"/>
  <c r="H56" i="6"/>
  <c r="G56" i="6"/>
  <c r="F56" i="6"/>
  <c r="H55" i="6"/>
  <c r="G55" i="6"/>
  <c r="F55" i="6"/>
  <c r="H54" i="6"/>
  <c r="G54" i="6"/>
  <c r="F54" i="6"/>
  <c r="H53" i="6"/>
  <c r="G53" i="6"/>
  <c r="F53" i="6"/>
  <c r="H52" i="6"/>
  <c r="G52" i="6"/>
  <c r="F52" i="6"/>
  <c r="H51" i="6"/>
  <c r="G51" i="6"/>
  <c r="F51" i="6"/>
  <c r="H50" i="6"/>
  <c r="G50" i="6"/>
  <c r="F50" i="6"/>
  <c r="H49" i="6"/>
  <c r="G49" i="6"/>
  <c r="F49" i="6"/>
  <c r="H48" i="6"/>
  <c r="G48" i="6"/>
  <c r="F48" i="6"/>
  <c r="H47" i="6"/>
  <c r="G47" i="6"/>
  <c r="F47" i="6"/>
  <c r="H46" i="6"/>
  <c r="G46" i="6"/>
  <c r="F46" i="6"/>
  <c r="H45" i="6"/>
  <c r="G45" i="6"/>
  <c r="F45" i="6"/>
  <c r="H44" i="6"/>
  <c r="G44" i="6"/>
  <c r="F44" i="6"/>
  <c r="H43" i="6"/>
  <c r="G43" i="6"/>
  <c r="F43" i="6"/>
  <c r="H42" i="6"/>
  <c r="G42" i="6"/>
  <c r="F42" i="6"/>
  <c r="H41" i="6"/>
  <c r="G41" i="6"/>
  <c r="F41" i="6"/>
  <c r="H40" i="6"/>
  <c r="G40" i="6"/>
  <c r="F40" i="6"/>
  <c r="H39" i="6"/>
  <c r="G39" i="6"/>
  <c r="F39" i="6"/>
  <c r="H38" i="6"/>
  <c r="G38" i="6"/>
  <c r="F38" i="6"/>
  <c r="H37" i="6"/>
  <c r="G37" i="6"/>
  <c r="F37" i="6"/>
  <c r="H36" i="6"/>
  <c r="G36" i="6"/>
  <c r="F36" i="6"/>
  <c r="H35" i="6"/>
  <c r="G35" i="6"/>
  <c r="F35" i="6"/>
  <c r="H34" i="6"/>
  <c r="G34" i="6"/>
  <c r="F34" i="6"/>
  <c r="H33" i="6"/>
  <c r="G33" i="6"/>
  <c r="F33" i="6"/>
  <c r="H32" i="6"/>
  <c r="G32" i="6"/>
  <c r="F32" i="6"/>
  <c r="H31" i="6"/>
  <c r="G31" i="6"/>
  <c r="F31" i="6"/>
  <c r="H30" i="6"/>
  <c r="G30" i="6"/>
  <c r="F30" i="6"/>
  <c r="H29" i="6"/>
  <c r="G29" i="6"/>
  <c r="F29" i="6"/>
  <c r="H28" i="6"/>
  <c r="G28" i="6"/>
  <c r="F28" i="6"/>
  <c r="H27" i="6"/>
  <c r="G27" i="6"/>
  <c r="F27" i="6"/>
  <c r="H26" i="6"/>
  <c r="G26" i="6"/>
  <c r="F26" i="6"/>
  <c r="H25" i="6"/>
  <c r="G25" i="6"/>
  <c r="F25" i="6"/>
  <c r="H24" i="6"/>
  <c r="G24" i="6"/>
  <c r="F24" i="6"/>
  <c r="H23" i="6"/>
  <c r="G23" i="6"/>
  <c r="F23" i="6"/>
  <c r="H22" i="6"/>
  <c r="G22" i="6"/>
  <c r="F22" i="6"/>
  <c r="H21" i="6"/>
  <c r="G21" i="6"/>
  <c r="F21" i="6"/>
  <c r="H20" i="6"/>
  <c r="G20" i="6"/>
  <c r="F20" i="6"/>
  <c r="H19" i="6"/>
  <c r="G19" i="6"/>
  <c r="F19" i="6"/>
  <c r="H18" i="6"/>
  <c r="G18" i="6"/>
  <c r="F18" i="6"/>
  <c r="H17" i="6"/>
  <c r="G17" i="6"/>
  <c r="F17" i="6"/>
  <c r="H16" i="6"/>
  <c r="G16" i="6"/>
  <c r="F16" i="6"/>
  <c r="H15" i="6"/>
  <c r="G15" i="6"/>
  <c r="F15" i="6"/>
  <c r="H14" i="6"/>
  <c r="G14" i="6"/>
  <c r="F14" i="6"/>
  <c r="H13" i="6"/>
  <c r="G13" i="6"/>
  <c r="F13" i="6"/>
  <c r="H12" i="6"/>
  <c r="G12" i="6"/>
  <c r="F12" i="6"/>
  <c r="H11" i="6"/>
  <c r="G11" i="6"/>
  <c r="F11" i="6"/>
  <c r="H10" i="6"/>
  <c r="G10" i="6"/>
  <c r="F10" i="6"/>
  <c r="H9" i="6"/>
  <c r="G9" i="6"/>
  <c r="F9" i="6"/>
  <c r="H8" i="6"/>
  <c r="G8" i="6"/>
  <c r="F8" i="6"/>
  <c r="H7" i="6"/>
  <c r="G7" i="6"/>
  <c r="F7" i="6"/>
  <c r="H6" i="6"/>
  <c r="G6" i="6"/>
  <c r="F6" i="6"/>
  <c r="H5" i="6"/>
  <c r="G5" i="6"/>
  <c r="F5" i="6"/>
  <c r="H4" i="6"/>
  <c r="G4" i="6"/>
  <c r="F4" i="6"/>
  <c r="H3" i="6"/>
  <c r="G3" i="6"/>
  <c r="F3" i="6"/>
  <c r="H2" i="6"/>
  <c r="G2" i="6"/>
  <c r="F2" i="6"/>
  <c r="E80" i="6"/>
  <c r="D80" i="6"/>
  <c r="C80" i="6"/>
  <c r="B80" i="6"/>
  <c r="E79" i="6"/>
  <c r="D79" i="6"/>
  <c r="C79" i="6"/>
  <c r="B79" i="6"/>
  <c r="E78" i="6"/>
  <c r="D78" i="6"/>
  <c r="C78" i="6"/>
  <c r="B78" i="6"/>
  <c r="E77" i="6"/>
  <c r="D77" i="6"/>
  <c r="C77" i="6"/>
  <c r="B77" i="6"/>
  <c r="E76" i="6"/>
  <c r="D76" i="6"/>
  <c r="C76" i="6"/>
  <c r="B76" i="6"/>
  <c r="E75" i="6"/>
  <c r="D75" i="6"/>
  <c r="C75" i="6"/>
  <c r="B75" i="6"/>
  <c r="E74" i="6"/>
  <c r="D74" i="6"/>
  <c r="C74" i="6"/>
  <c r="B74" i="6"/>
  <c r="E73" i="6"/>
  <c r="D73" i="6"/>
  <c r="C73" i="6"/>
  <c r="B73" i="6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J5" i="15"/>
  <c r="J4" i="15"/>
  <c r="J3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J2" i="15"/>
  <c r="G2" i="15"/>
  <c r="D2" i="15"/>
  <c r="E72" i="6" l="1"/>
  <c r="D72" i="6"/>
  <c r="C72" i="6"/>
  <c r="B72" i="6"/>
  <c r="E71" i="6"/>
  <c r="D71" i="6"/>
  <c r="C71" i="6"/>
  <c r="B71" i="6"/>
  <c r="E70" i="6"/>
  <c r="D70" i="6"/>
  <c r="C70" i="6"/>
  <c r="B70" i="6"/>
  <c r="E69" i="6"/>
  <c r="D69" i="6"/>
  <c r="C69" i="6"/>
  <c r="B69" i="6"/>
  <c r="E68" i="6"/>
  <c r="D68" i="6"/>
  <c r="C68" i="6"/>
  <c r="B68" i="6"/>
  <c r="E67" i="6"/>
  <c r="D67" i="6"/>
  <c r="C67" i="6"/>
  <c r="B67" i="6"/>
  <c r="E66" i="6"/>
  <c r="D66" i="6"/>
  <c r="C66" i="6"/>
  <c r="B66" i="6"/>
  <c r="E65" i="6"/>
  <c r="D65" i="6"/>
  <c r="C65" i="6"/>
  <c r="B65" i="6"/>
  <c r="E64" i="6"/>
  <c r="D64" i="6"/>
  <c r="C64" i="6"/>
  <c r="B64" i="6"/>
  <c r="E63" i="6"/>
  <c r="D63" i="6"/>
  <c r="C63" i="6"/>
  <c r="B63" i="6"/>
  <c r="E62" i="6"/>
  <c r="D62" i="6"/>
  <c r="C62" i="6"/>
  <c r="B62" i="6"/>
  <c r="E61" i="6"/>
  <c r="D61" i="6"/>
  <c r="C61" i="6"/>
  <c r="B61" i="6"/>
  <c r="E60" i="6"/>
  <c r="D60" i="6"/>
  <c r="C60" i="6"/>
  <c r="B60" i="6"/>
  <c r="E59" i="6"/>
  <c r="D59" i="6"/>
  <c r="C59" i="6"/>
  <c r="B59" i="6"/>
  <c r="E58" i="6"/>
  <c r="D58" i="6"/>
  <c r="C58" i="6"/>
  <c r="B58" i="6"/>
  <c r="E57" i="6"/>
  <c r="D57" i="6"/>
  <c r="C57" i="6"/>
  <c r="B57" i="6"/>
  <c r="E56" i="6"/>
  <c r="D56" i="6"/>
  <c r="C56" i="6"/>
  <c r="B56" i="6"/>
  <c r="E55" i="6"/>
  <c r="D55" i="6"/>
  <c r="C55" i="6"/>
  <c r="B55" i="6"/>
  <c r="E54" i="6"/>
  <c r="D54" i="6"/>
  <c r="C54" i="6"/>
  <c r="B54" i="6"/>
  <c r="E53" i="6"/>
  <c r="D53" i="6"/>
  <c r="C53" i="6"/>
  <c r="B53" i="6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C3" i="6"/>
  <c r="B3" i="6"/>
  <c r="E2" i="6"/>
  <c r="D2" i="6"/>
  <c r="C2" i="6"/>
  <c r="B2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</calcChain>
</file>

<file path=xl/sharedStrings.xml><?xml version="1.0" encoding="utf-8"?>
<sst xmlns="http://schemas.openxmlformats.org/spreadsheetml/2006/main" count="39" uniqueCount="19">
  <si>
    <t>Date</t>
  </si>
  <si>
    <t>Rim</t>
  </si>
  <si>
    <t>Rig</t>
  </si>
  <si>
    <t>Rib</t>
  </si>
  <si>
    <t>Ribtc</t>
  </si>
  <si>
    <t>Rf</t>
  </si>
  <si>
    <t>X1</t>
  </si>
  <si>
    <t>X2</t>
  </si>
  <si>
    <t>X3</t>
  </si>
  <si>
    <t>Exc</t>
  </si>
  <si>
    <t>Fits Exc</t>
  </si>
  <si>
    <t>Fits Inf</t>
  </si>
  <si>
    <t>Fits SBI</t>
  </si>
  <si>
    <t>Inf</t>
  </si>
  <si>
    <t>SBI</t>
  </si>
  <si>
    <t>Keterangan :</t>
  </si>
  <si>
    <t>Data Fits diisi dengan forecast yang didapatkan dengan metode simple exponential smooting. Kemudian secara otomatis akan didapatkan variabel X1 hingga X3</t>
  </si>
  <si>
    <t>Data X1 hingga X3 akan berubah mengikuti kolom C, F dan I pada sheet Data Makro Bulanan</t>
  </si>
  <si>
    <t>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</si>
</sst>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-yy;@"/>
    <numFmt numFmtId="165" formatCode="0.000000"/>
    <numFmt numFmtId="166" formatCode="0.00000"/>
  </numFmts>
  <fonts count="8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2"/>
    </font>
    <font>
      <sz val="10"/>
      <color rgb="FF000000"/>
      <name val="Segoe UI"/>
      <family val="2"/>
    </font>
    <font>
      <b/>
      <u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wrapText="1"/>
    </xf>
    <xf numFmtId="0" fontId="3" fillId="0" borderId="0" xfId="0" applyFont="1"/>
    <xf numFmtId="165" fontId="3" fillId="0" borderId="0" xfId="0" applyNumberFormat="1" applyFont="1"/>
    <xf numFmtId="0" fontId="1" fillId="2" borderId="0" xfId="0" applyFont="1" applyFill="1" applyAlignment="1">
      <alignment horizontal="center"/>
    </xf>
    <xf numFmtId="0" fontId="0" fillId="2" borderId="0" xfId="0" applyFill="1"/>
    <xf numFmtId="165" fontId="3" fillId="2" borderId="0" xfId="0" applyNumberFormat="1" applyFont="1" applyFill="1"/>
    <xf numFmtId="165" fontId="0" fillId="2" borderId="0" xfId="0" applyNumberFormat="1" applyFill="1"/>
    <xf numFmtId="165" fontId="2" fillId="0" borderId="0" xfId="0" applyNumberFormat="1" applyFont="1" applyAlignment="1">
      <alignment wrapText="1"/>
    </xf>
    <xf numFmtId="165" fontId="0" fillId="0" borderId="0" xfId="0" applyNumberFormat="1"/>
    <xf numFmtId="0" fontId="4" fillId="0" borderId="0" xfId="0" applyFont="1"/>
    <xf numFmtId="0" fontId="5" fillId="3" borderId="0" xfId="0" applyFont="1" applyFill="1" applyAlignment="1">
      <alignment horizontal="right" vertical="center"/>
    </xf>
    <xf numFmtId="166" fontId="4" fillId="0" borderId="0" xfId="0" applyNumberFormat="1" applyFont="1"/>
    <xf numFmtId="0" fontId="1" fillId="4" borderId="0" xfId="0" applyFont="1" applyFill="1" applyAlignment="1">
      <alignment horizontal="center"/>
    </xf>
    <xf numFmtId="165" fontId="0" fillId="4" borderId="0" xfId="0" applyNumberFormat="1" applyFill="1"/>
    <xf numFmtId="0" fontId="0" fillId="4" borderId="0" xfId="0" applyFill="1"/>
    <xf numFmtId="0" fontId="6" fillId="0" borderId="0" xfId="0" applyFont="1"/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Ri Aset'!$B$1</c:f>
              <c:strCache>
                <c:ptCount val="1"/>
                <c:pt idx="0">
                  <c:v>Rim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'Data Ri Aset'!$A$2:$A$72</c:f>
              <c:numCache>
                <c:formatCode>[$-409]mmm\-yy;@</c:formatCode>
                <c:ptCount val="71"/>
                <c:pt idx="0">
                  <c:v>43132</c:v>
                </c:pt>
                <c:pt idx="1">
                  <c:v>43160</c:v>
                </c:pt>
                <c:pt idx="2">
                  <c:v>43191</c:v>
                </c:pt>
                <c:pt idx="3">
                  <c:v>43221</c:v>
                </c:pt>
                <c:pt idx="4">
                  <c:v>43252</c:v>
                </c:pt>
                <c:pt idx="5">
                  <c:v>43282</c:v>
                </c:pt>
                <c:pt idx="6">
                  <c:v>43313</c:v>
                </c:pt>
                <c:pt idx="7">
                  <c:v>43344</c:v>
                </c:pt>
                <c:pt idx="8">
                  <c:v>43374</c:v>
                </c:pt>
                <c:pt idx="9">
                  <c:v>43405</c:v>
                </c:pt>
                <c:pt idx="10">
                  <c:v>43435</c:v>
                </c:pt>
                <c:pt idx="11">
                  <c:v>43466</c:v>
                </c:pt>
                <c:pt idx="12">
                  <c:v>43497</c:v>
                </c:pt>
                <c:pt idx="13">
                  <c:v>43525</c:v>
                </c:pt>
                <c:pt idx="14">
                  <c:v>43556</c:v>
                </c:pt>
                <c:pt idx="15">
                  <c:v>43586</c:v>
                </c:pt>
                <c:pt idx="16">
                  <c:v>43617</c:v>
                </c:pt>
                <c:pt idx="17">
                  <c:v>43647</c:v>
                </c:pt>
                <c:pt idx="18">
                  <c:v>43678</c:v>
                </c:pt>
                <c:pt idx="19">
                  <c:v>43709</c:v>
                </c:pt>
                <c:pt idx="20">
                  <c:v>43739</c:v>
                </c:pt>
                <c:pt idx="21">
                  <c:v>43770</c:v>
                </c:pt>
                <c:pt idx="22">
                  <c:v>43800</c:v>
                </c:pt>
                <c:pt idx="23">
                  <c:v>43831</c:v>
                </c:pt>
                <c:pt idx="24">
                  <c:v>43862</c:v>
                </c:pt>
                <c:pt idx="25">
                  <c:v>43891</c:v>
                </c:pt>
                <c:pt idx="26">
                  <c:v>43922</c:v>
                </c:pt>
                <c:pt idx="27">
                  <c:v>43952</c:v>
                </c:pt>
                <c:pt idx="28">
                  <c:v>43983</c:v>
                </c:pt>
                <c:pt idx="29">
                  <c:v>44013</c:v>
                </c:pt>
                <c:pt idx="30">
                  <c:v>44044</c:v>
                </c:pt>
                <c:pt idx="31">
                  <c:v>44075</c:v>
                </c:pt>
                <c:pt idx="32">
                  <c:v>44105</c:v>
                </c:pt>
                <c:pt idx="33">
                  <c:v>44136</c:v>
                </c:pt>
                <c:pt idx="34">
                  <c:v>44166</c:v>
                </c:pt>
                <c:pt idx="35">
                  <c:v>44197</c:v>
                </c:pt>
                <c:pt idx="36">
                  <c:v>44228</c:v>
                </c:pt>
                <c:pt idx="37">
                  <c:v>44256</c:v>
                </c:pt>
                <c:pt idx="38">
                  <c:v>44287</c:v>
                </c:pt>
                <c:pt idx="39">
                  <c:v>44317</c:v>
                </c:pt>
                <c:pt idx="40">
                  <c:v>44348</c:v>
                </c:pt>
                <c:pt idx="41">
                  <c:v>44378</c:v>
                </c:pt>
                <c:pt idx="42">
                  <c:v>44409</c:v>
                </c:pt>
                <c:pt idx="43">
                  <c:v>44440</c:v>
                </c:pt>
                <c:pt idx="44">
                  <c:v>44470</c:v>
                </c:pt>
                <c:pt idx="45">
                  <c:v>44501</c:v>
                </c:pt>
                <c:pt idx="46">
                  <c:v>44531</c:v>
                </c:pt>
                <c:pt idx="47">
                  <c:v>44562</c:v>
                </c:pt>
                <c:pt idx="48">
                  <c:v>44593</c:v>
                </c:pt>
                <c:pt idx="49">
                  <c:v>44621</c:v>
                </c:pt>
                <c:pt idx="50">
                  <c:v>44652</c:v>
                </c:pt>
                <c:pt idx="51">
                  <c:v>44682</c:v>
                </c:pt>
                <c:pt idx="52">
                  <c:v>44713</c:v>
                </c:pt>
                <c:pt idx="53">
                  <c:v>44743</c:v>
                </c:pt>
                <c:pt idx="54">
                  <c:v>44774</c:v>
                </c:pt>
                <c:pt idx="55">
                  <c:v>44805</c:v>
                </c:pt>
                <c:pt idx="56">
                  <c:v>44835</c:v>
                </c:pt>
                <c:pt idx="57">
                  <c:v>44866</c:v>
                </c:pt>
                <c:pt idx="58">
                  <c:v>44896</c:v>
                </c:pt>
                <c:pt idx="59">
                  <c:v>44927</c:v>
                </c:pt>
                <c:pt idx="60">
                  <c:v>44958</c:v>
                </c:pt>
                <c:pt idx="61">
                  <c:v>44986</c:v>
                </c:pt>
                <c:pt idx="62">
                  <c:v>45017</c:v>
                </c:pt>
                <c:pt idx="63">
                  <c:v>45047</c:v>
                </c:pt>
                <c:pt idx="64">
                  <c:v>45078</c:v>
                </c:pt>
                <c:pt idx="65">
                  <c:v>45108</c:v>
                </c:pt>
                <c:pt idx="66">
                  <c:v>45139</c:v>
                </c:pt>
                <c:pt idx="67">
                  <c:v>45170</c:v>
                </c:pt>
                <c:pt idx="68">
                  <c:v>45200</c:v>
                </c:pt>
                <c:pt idx="69">
                  <c:v>45231</c:v>
                </c:pt>
                <c:pt idx="70">
                  <c:v>45261</c:v>
                </c:pt>
              </c:numCache>
            </c:numRef>
          </c:cat>
          <c:val>
            <c:numRef>
              <c:f>'Data Ri Aset'!$B$2:$B$72</c:f>
              <c:numCache>
                <c:formatCode>General</c:formatCode>
                <c:ptCount val="71"/>
                <c:pt idx="0">
                  <c:v>-1.273156383266979E-3</c:v>
                </c:pt>
                <c:pt idx="1">
                  <c:v>-6.1879094527695071E-2</c:v>
                </c:pt>
                <c:pt idx="2">
                  <c:v>-3.1409002115046145E-2</c:v>
                </c:pt>
                <c:pt idx="3">
                  <c:v>-1.8366529876889563E-3</c:v>
                </c:pt>
                <c:pt idx="4">
                  <c:v>-3.0809263335221892E-2</c:v>
                </c:pt>
                <c:pt idx="5">
                  <c:v>2.3658272463288263E-2</c:v>
                </c:pt>
                <c:pt idx="6">
                  <c:v>1.381636132092642E-2</c:v>
                </c:pt>
                <c:pt idx="7">
                  <c:v>-6.9635753996869386E-3</c:v>
                </c:pt>
                <c:pt idx="8">
                  <c:v>-2.4244756590340671E-2</c:v>
                </c:pt>
                <c:pt idx="9">
                  <c:v>3.8491679027376519E-2</c:v>
                </c:pt>
                <c:pt idx="10">
                  <c:v>2.2849613283752651E-2</c:v>
                </c:pt>
                <c:pt idx="11">
                  <c:v>5.4640406812494997E-2</c:v>
                </c:pt>
                <c:pt idx="12">
                  <c:v>-1.3718109833659099E-2</c:v>
                </c:pt>
                <c:pt idx="13">
                  <c:v>3.942048778973614E-3</c:v>
                </c:pt>
                <c:pt idx="14">
                  <c:v>-2.0714975845410066E-3</c:v>
                </c:pt>
                <c:pt idx="15">
                  <c:v>-3.8143555345566155E-2</c:v>
                </c:pt>
                <c:pt idx="16">
                  <c:v>2.4079096554745313E-2</c:v>
                </c:pt>
                <c:pt idx="17">
                  <c:v>5.0120859367505091E-3</c:v>
                </c:pt>
                <c:pt idx="18">
                  <c:v>-9.7065957280337602E-3</c:v>
                </c:pt>
                <c:pt idx="19">
                  <c:v>-2.5183022120670539E-2</c:v>
                </c:pt>
                <c:pt idx="20">
                  <c:v>9.599455350050955E-3</c:v>
                </c:pt>
                <c:pt idx="21">
                  <c:v>-3.4758971921802315E-2</c:v>
                </c:pt>
                <c:pt idx="22">
                  <c:v>4.7857308007711472E-2</c:v>
                </c:pt>
                <c:pt idx="23">
                  <c:v>-5.7066071490934227E-2</c:v>
                </c:pt>
                <c:pt idx="24">
                  <c:v>-8.2044763932963588E-2</c:v>
                </c:pt>
                <c:pt idx="25">
                  <c:v>8.4189999999999994E-3</c:v>
                </c:pt>
                <c:pt idx="26">
                  <c:v>3.9099523455968552E-2</c:v>
                </c:pt>
                <c:pt idx="27">
                  <c:v>7.8894919854126111E-3</c:v>
                </c:pt>
                <c:pt idx="28">
                  <c:v>3.1929417852958206E-2</c:v>
                </c:pt>
                <c:pt idx="29">
                  <c:v>4.9790128817484396E-2</c:v>
                </c:pt>
                <c:pt idx="30">
                  <c:v>1.7255608655379059E-2</c:v>
                </c:pt>
                <c:pt idx="31">
                  <c:v>-7.0335153832497499E-2</c:v>
                </c:pt>
                <c:pt idx="32">
                  <c:v>5.3015991655099258E-2</c:v>
                </c:pt>
                <c:pt idx="33">
                  <c:v>9.4416592079528516E-2</c:v>
                </c:pt>
                <c:pt idx="34">
                  <c:v>6.5328325392611325E-2</c:v>
                </c:pt>
                <c:pt idx="35">
                  <c:v>-1.9521430590375987E-2</c:v>
                </c:pt>
                <c:pt idx="36">
                  <c:v>6.4726602812865117E-2</c:v>
                </c:pt>
                <c:pt idx="37">
                  <c:v>-4.1058668973693445E-2</c:v>
                </c:pt>
                <c:pt idx="38">
                  <c:v>1.6874056055279163E-3</c:v>
                </c:pt>
                <c:pt idx="39">
                  <c:v>-8.0325304138687669E-3</c:v>
                </c:pt>
                <c:pt idx="40">
                  <c:v>6.3943263174531216E-3</c:v>
                </c:pt>
                <c:pt idx="41">
                  <c:v>1.4125827626476727E-2</c:v>
                </c:pt>
                <c:pt idx="42">
                  <c:v>1.3222318139583959E-2</c:v>
                </c:pt>
                <c:pt idx="43">
                  <c:v>2.2216802432401577E-2</c:v>
                </c:pt>
                <c:pt idx="44">
                  <c:v>4.8419421849103188E-2</c:v>
                </c:pt>
                <c:pt idx="45">
                  <c:v>-8.7114172362262772E-3</c:v>
                </c:pt>
                <c:pt idx="46">
                  <c:v>7.2773966051058502E-3</c:v>
                </c:pt>
                <c:pt idx="47">
                  <c:v>7.5469347320055785E-3</c:v>
                </c:pt>
                <c:pt idx="48">
                  <c:v>3.8759491189311122E-2</c:v>
                </c:pt>
                <c:pt idx="49">
                  <c:v>2.6606486192994588E-2</c:v>
                </c:pt>
                <c:pt idx="50">
                  <c:v>2.2268448859072587E-2</c:v>
                </c:pt>
                <c:pt idx="51">
                  <c:v>-1.105837532906062E-2</c:v>
                </c:pt>
                <c:pt idx="52">
                  <c:v>-3.3206182149316657E-2</c:v>
                </c:pt>
                <c:pt idx="53">
                  <c:v>5.7208337312163017E-3</c:v>
                </c:pt>
                <c:pt idx="54">
                  <c:v>3.2724222859050092E-2</c:v>
                </c:pt>
                <c:pt idx="55">
                  <c:v>-1.919457720805896E-2</c:v>
                </c:pt>
                <c:pt idx="56">
                  <c:v>8.2504828996705117E-3</c:v>
                </c:pt>
                <c:pt idx="57">
                  <c:v>-2.4764435003218708E-3</c:v>
                </c:pt>
                <c:pt idx="58">
                  <c:v>-3.2577305611532402E-2</c:v>
                </c:pt>
                <c:pt idx="59">
                  <c:v>-1.6465662961892128E-3</c:v>
                </c:pt>
                <c:pt idx="60">
                  <c:v>5.7023046083388691E-4</c:v>
                </c:pt>
                <c:pt idx="61">
                  <c:v>-5.5470800381106078E-3</c:v>
                </c:pt>
                <c:pt idx="62">
                  <c:v>1.6228575459055396E-2</c:v>
                </c:pt>
                <c:pt idx="63">
                  <c:v>-4.0843180464217754E-2</c:v>
                </c:pt>
                <c:pt idx="64">
                  <c:v>4.3146205636444054E-3</c:v>
                </c:pt>
                <c:pt idx="65">
                  <c:v>4.0451043849483864E-2</c:v>
                </c:pt>
                <c:pt idx="66">
                  <c:v>3.1595531035757121E-3</c:v>
                </c:pt>
                <c:pt idx="67">
                  <c:v>-1.9228390711694789E-3</c:v>
                </c:pt>
                <c:pt idx="68">
                  <c:v>-3.4333397215229697E-2</c:v>
                </c:pt>
                <c:pt idx="69">
                  <c:v>5.6571396169881299E-2</c:v>
                </c:pt>
                <c:pt idx="70">
                  <c:v>2.7124283620073665E-2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B5-4DF8-8802-D6B228906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3467872"/>
        <c:axId val="1063468832"/>
      </c:lineChart>
      <c:dateAx>
        <c:axId val="1063467872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468832"/>
        <c:crosses val="autoZero"/>
        <c:auto val="1"/>
        <c:lblOffset val="100"/>
        <c:baseTimeUnit val="months"/>
      </c:dateAx>
      <c:valAx>
        <c:axId val="1063468832"/>
        <c:scaling>
          <c:orientation val="minMax"/>
          <c:max val="0.11000000000000001"/>
          <c:min val="-9.000000000000002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467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'Data Ri Aset'!#REF!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'Data Ri Aset'!#REF!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'Data Ri Aset'!#REF!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1B8-4BCD-8C80-6E9DC6C49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0365664"/>
        <c:axId val="1070354624"/>
      </c:lineChart>
      <c:catAx>
        <c:axId val="1070365664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354624"/>
        <c:crosses val="autoZero"/>
        <c:auto val="1"/>
        <c:lblAlgn val="ctr"/>
        <c:lblOffset val="100"/>
        <c:noMultiLvlLbl val="1"/>
      </c:catAx>
      <c:valAx>
        <c:axId val="1070354624"/>
        <c:scaling>
          <c:orientation val="minMax"/>
          <c:max val="0.11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365664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'Data Ri Aset'!#REF!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'Data Ri Aset'!#REF!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'Data Ri Aset'!#REF!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8FF-4A4D-B0EC-A3FE35F11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0931168"/>
        <c:axId val="1160918688"/>
      </c:lineChart>
      <c:catAx>
        <c:axId val="1160931168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918688"/>
        <c:crosses val="autoZero"/>
        <c:auto val="1"/>
        <c:lblAlgn val="ctr"/>
        <c:lblOffset val="100"/>
        <c:noMultiLvlLbl val="1"/>
      </c:catAx>
      <c:valAx>
        <c:axId val="116091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93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51</xdr:row>
      <xdr:rowOff>130968</xdr:rowOff>
    </xdr:from>
    <xdr:to>
      <xdr:col>13</xdr:col>
      <xdr:colOff>0</xdr:colOff>
      <xdr:row>65</xdr:row>
      <xdr:rowOff>140493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3E894C-74AD-2F02-B23F-5AFFF47FF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200025</xdr:colOff>
      <xdr:row>36</xdr:row>
      <xdr:rowOff>2380</xdr:rowOff>
    </xdr:from>
    <xdr:to>
      <xdr:col>12</xdr:col>
      <xdr:colOff>657225</xdr:colOff>
      <xdr:row>50</xdr:row>
      <xdr:rowOff>11905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EE44DB-107B-2CE0-2504-1CD8949141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385763</xdr:colOff>
      <xdr:row>46</xdr:row>
      <xdr:rowOff>97631</xdr:rowOff>
    </xdr:from>
    <xdr:to>
      <xdr:col>14</xdr:col>
      <xdr:colOff>0</xdr:colOff>
      <xdr:row>60</xdr:row>
      <xdr:rowOff>107156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DB66E8-F726-703F-4DCC-E66476D48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0252-18E4-4C00-9CDD-CFF963E4ACD7}">
  <dimension ref="A1:I80"/>
  <sheetViews>
    <sheetView workbookViewId="0">
      <selection activeCell="B84" sqref="B84:E91"/>
    </sheetView>
  </sheetViews>
  <sheetFormatPr defaultRowHeight="15.5" x14ac:dyDescent="0.35"/>
  <cols>
    <col min="1" max="1" width="9" style="1"/>
  </cols>
  <sheetData>
    <row r="1" spans="1: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</row>
    <row r="2" spans="1:9" x14ac:dyDescent="0.35">
      <c r="A2" s="1">
        <v>43132</v>
      </c>
      <c r="B2">
        <v>-1.273156383266979E-3</v>
      </c>
      <c r="C2">
        <v>-1.8318006526253369E-2</v>
      </c>
      <c r="D2">
        <v>4.384298828743273E-2</v>
      </c>
      <c r="E2">
        <v>6.6729012020963624E-3</v>
      </c>
    </row>
    <row r="3" spans="1:9" x14ac:dyDescent="0.35">
      <c r="A3" s="1">
        <v>43160</v>
      </c>
      <c r="B3">
        <v>-6.1879094527695071E-2</v>
      </c>
      <c r="C3">
        <v>7.2523985797385429E-3</v>
      </c>
      <c r="D3">
        <v>1.1220621683093252E-2</v>
      </c>
      <c r="E3">
        <v>-0.32859810913595061</v>
      </c>
    </row>
    <row r="4" spans="1:9" x14ac:dyDescent="0.35">
      <c r="A4" s="1">
        <v>43191</v>
      </c>
      <c r="B4">
        <v>-3.1409002115046145E-2</v>
      </c>
      <c r="C4">
        <v>-6.0001500037500941E-3</v>
      </c>
      <c r="D4">
        <v>3.5537561853351329E-2</v>
      </c>
      <c r="E4">
        <v>0.33249257732553122</v>
      </c>
    </row>
    <row r="5" spans="1:9" x14ac:dyDescent="0.35">
      <c r="A5" s="1">
        <v>43221</v>
      </c>
      <c r="B5">
        <v>-1.8366529876889563E-3</v>
      </c>
      <c r="C5">
        <v>-1.0940919037199124E-2</v>
      </c>
      <c r="D5">
        <v>2.2299449753837242E-2</v>
      </c>
      <c r="E5">
        <v>-0.18847822089539323</v>
      </c>
    </row>
    <row r="6" spans="1:9" x14ac:dyDescent="0.35">
      <c r="A6" s="1">
        <v>43252</v>
      </c>
      <c r="B6">
        <v>-3.0809263335221892E-2</v>
      </c>
      <c r="C6">
        <v>-3.8602380225816225E-2</v>
      </c>
      <c r="D6">
        <v>0.10524079320113315</v>
      </c>
      <c r="E6">
        <v>-0.1471090022125664</v>
      </c>
    </row>
    <row r="7" spans="1:9" x14ac:dyDescent="0.35">
      <c r="A7" s="1">
        <v>43282</v>
      </c>
      <c r="B7">
        <v>2.3658272463288263E-2</v>
      </c>
      <c r="C7">
        <v>-2.1107760672909169E-2</v>
      </c>
      <c r="D7">
        <v>-6.1514801999231067E-3</v>
      </c>
      <c r="E7">
        <v>0.20792636234352779</v>
      </c>
    </row>
    <row r="8" spans="1:9" x14ac:dyDescent="0.35">
      <c r="A8" s="1">
        <v>43313</v>
      </c>
      <c r="B8">
        <v>1.381636132092642E-2</v>
      </c>
      <c r="C8">
        <v>-2.1806095979247622E-2</v>
      </c>
      <c r="D8">
        <v>4.7969052224371374E-2</v>
      </c>
      <c r="E8">
        <v>-8.9994048697182125E-2</v>
      </c>
    </row>
    <row r="9" spans="1:9" x14ac:dyDescent="0.35">
      <c r="A9" s="1">
        <v>43344</v>
      </c>
      <c r="B9">
        <v>-6.9635753996869386E-3</v>
      </c>
      <c r="C9">
        <v>-3.9777906687660184E-3</v>
      </c>
      <c r="D9">
        <v>9.9667774086378731E-3</v>
      </c>
      <c r="E9">
        <v>-5.6669225738576641E-2</v>
      </c>
    </row>
    <row r="10" spans="1:9" x14ac:dyDescent="0.35">
      <c r="A10" s="1">
        <v>43374</v>
      </c>
      <c r="B10">
        <v>-2.4244756590340671E-2</v>
      </c>
      <c r="C10">
        <v>1.5725101921956787E-2</v>
      </c>
      <c r="D10">
        <v>4.7880116959064328E-2</v>
      </c>
      <c r="E10">
        <v>-4.0586568603810012E-2</v>
      </c>
    </row>
    <row r="11" spans="1:9" x14ac:dyDescent="0.35">
      <c r="A11" s="1">
        <v>43405</v>
      </c>
      <c r="B11">
        <v>3.8491679027376519E-2</v>
      </c>
      <c r="C11">
        <v>9.0104849279161216E-3</v>
      </c>
      <c r="D11">
        <v>-8.5455179630275546E-2</v>
      </c>
      <c r="E11">
        <v>-0.3654157306900831</v>
      </c>
    </row>
    <row r="12" spans="1:9" x14ac:dyDescent="0.35">
      <c r="A12" s="1">
        <v>43435</v>
      </c>
      <c r="B12">
        <v>2.2849613283752651E-2</v>
      </c>
      <c r="C12">
        <v>4.5380743627212283E-2</v>
      </c>
      <c r="D12">
        <v>1.6653953724891941E-2</v>
      </c>
      <c r="E12">
        <v>-8.1763497289402617E-2</v>
      </c>
    </row>
    <row r="13" spans="1:9" x14ac:dyDescent="0.35">
      <c r="A13" s="1">
        <v>43466</v>
      </c>
      <c r="B13">
        <v>5.4640406812494997E-2</v>
      </c>
      <c r="C13">
        <v>3.4091791566358519E-2</v>
      </c>
      <c r="D13">
        <v>6.7525321995748405E-3</v>
      </c>
      <c r="E13">
        <v>-7.3381139806976942E-2</v>
      </c>
    </row>
    <row r="14" spans="1:9" x14ac:dyDescent="0.35">
      <c r="A14" s="1">
        <v>43497</v>
      </c>
      <c r="B14">
        <v>-1.3718109833659099E-2</v>
      </c>
      <c r="C14">
        <v>-6.6836887954339619E-3</v>
      </c>
      <c r="D14">
        <v>-3.105204322444417E-2</v>
      </c>
      <c r="E14">
        <v>0.11038054230187365</v>
      </c>
    </row>
    <row r="15" spans="1:9" x14ac:dyDescent="0.35">
      <c r="A15" s="1">
        <v>43525</v>
      </c>
      <c r="B15">
        <v>3.942048778973614E-3</v>
      </c>
      <c r="C15">
        <v>-1.3759733877674488E-2</v>
      </c>
      <c r="D15">
        <v>-1.7433662350980643E-2</v>
      </c>
      <c r="E15">
        <v>7.4857202745899562E-2</v>
      </c>
    </row>
    <row r="16" spans="1:9" x14ac:dyDescent="0.35">
      <c r="A16" s="1">
        <v>43556</v>
      </c>
      <c r="B16">
        <v>-2.0714975845410066E-3</v>
      </c>
      <c r="C16">
        <v>-9.8121885779991983E-3</v>
      </c>
      <c r="D16">
        <v>1.7742987606001303E-2</v>
      </c>
      <c r="E16">
        <v>0.29702849620944349</v>
      </c>
    </row>
    <row r="17" spans="1:5" x14ac:dyDescent="0.35">
      <c r="A17" s="1">
        <v>43586</v>
      </c>
      <c r="B17">
        <v>-3.8143555345566155E-2</v>
      </c>
      <c r="C17">
        <v>1.950917395680115E-2</v>
      </c>
      <c r="D17">
        <v>2.8457890014100755E-2</v>
      </c>
      <c r="E17">
        <v>0.60846113366411048</v>
      </c>
    </row>
    <row r="18" spans="1:5" x14ac:dyDescent="0.35">
      <c r="A18" s="1">
        <v>43617</v>
      </c>
      <c r="B18">
        <v>2.4079096554745313E-2</v>
      </c>
      <c r="C18">
        <v>7.7986179664363137E-2</v>
      </c>
      <c r="D18">
        <v>-8.1515642527732773E-2</v>
      </c>
      <c r="E18">
        <v>0.26410618931329838</v>
      </c>
    </row>
    <row r="19" spans="1:5" x14ac:dyDescent="0.35">
      <c r="A19" s="1">
        <v>43647</v>
      </c>
      <c r="B19">
        <v>5.0120859367505091E-3</v>
      </c>
      <c r="C19">
        <v>1.2820512820512853E-2</v>
      </c>
      <c r="D19">
        <v>1.2213326095806758E-3</v>
      </c>
      <c r="E19">
        <v>-6.8086443717301715E-2</v>
      </c>
    </row>
    <row r="20" spans="1:5" x14ac:dyDescent="0.35">
      <c r="A20" s="1">
        <v>43678</v>
      </c>
      <c r="B20">
        <v>-9.7065957280337602E-3</v>
      </c>
      <c r="C20">
        <v>6.3708443455278999E-2</v>
      </c>
      <c r="D20">
        <v>-3.2529140688533479E-3</v>
      </c>
      <c r="E20">
        <v>-4.83634199563579E-2</v>
      </c>
    </row>
    <row r="21" spans="1:5" x14ac:dyDescent="0.35">
      <c r="A21" s="1">
        <v>43709</v>
      </c>
      <c r="B21">
        <v>-2.5183022120670539E-2</v>
      </c>
      <c r="C21">
        <v>-3.2561788936838094E-2</v>
      </c>
      <c r="D21">
        <v>-7.8868642915420183E-3</v>
      </c>
      <c r="E21">
        <v>-0.13654840323522058</v>
      </c>
    </row>
    <row r="22" spans="1:5" x14ac:dyDescent="0.35">
      <c r="A22" s="1">
        <v>43739</v>
      </c>
      <c r="B22">
        <v>9.599455350050955E-3</v>
      </c>
      <c r="C22">
        <v>2.8521221951878919E-2</v>
      </c>
      <c r="D22">
        <v>-3.9884868421052634E-2</v>
      </c>
      <c r="E22">
        <v>0.10481271803290576</v>
      </c>
    </row>
    <row r="23" spans="1:5" x14ac:dyDescent="0.35">
      <c r="A23" s="1">
        <v>43770</v>
      </c>
      <c r="B23">
        <v>-3.4758971921802315E-2</v>
      </c>
      <c r="C23">
        <v>-2.8715994217374193E-2</v>
      </c>
      <c r="D23">
        <v>9.8501070663811561E-3</v>
      </c>
      <c r="E23">
        <v>-0.17546926556388348</v>
      </c>
    </row>
    <row r="24" spans="1:5" x14ac:dyDescent="0.35">
      <c r="A24" s="1">
        <v>43800</v>
      </c>
      <c r="B24">
        <v>4.7857308007711472E-2</v>
      </c>
      <c r="C24">
        <v>3.4639063662810395E-2</v>
      </c>
      <c r="D24">
        <v>-3.8167938931297708E-3</v>
      </c>
      <c r="E24">
        <v>-4.6405003577770214E-2</v>
      </c>
    </row>
    <row r="25" spans="1:5" x14ac:dyDescent="0.35">
      <c r="A25" s="1">
        <v>43831</v>
      </c>
      <c r="B25">
        <v>-5.7066071490934227E-2</v>
      </c>
      <c r="C25">
        <v>4.2176159027005819E-2</v>
      </c>
      <c r="D25">
        <v>-5.7045551298424861E-2</v>
      </c>
      <c r="E25">
        <v>0.29913567895058651</v>
      </c>
    </row>
    <row r="26" spans="1:5" x14ac:dyDescent="0.35">
      <c r="A26" s="1">
        <v>43862</v>
      </c>
      <c r="B26">
        <v>-8.2044763932963588E-2</v>
      </c>
      <c r="C26">
        <v>-1.3803488518007279E-2</v>
      </c>
      <c r="D26">
        <v>3.6418359668924004E-2</v>
      </c>
      <c r="E26">
        <v>-8.614732968948878E-2</v>
      </c>
    </row>
    <row r="27" spans="1:5" x14ac:dyDescent="0.35">
      <c r="A27" s="1">
        <v>43891</v>
      </c>
      <c r="B27">
        <v>8.4189999999999994E-3</v>
      </c>
      <c r="C27">
        <v>1.5778088815370885E-2</v>
      </c>
      <c r="D27">
        <v>1.24E-3</v>
      </c>
      <c r="E27">
        <v>-0.24944696091857163</v>
      </c>
    </row>
    <row r="28" spans="1:5" x14ac:dyDescent="0.35">
      <c r="A28" s="1">
        <v>43922</v>
      </c>
      <c r="B28">
        <v>3.9099523455968552E-2</v>
      </c>
      <c r="C28">
        <v>6.5388951521984276E-2</v>
      </c>
      <c r="D28">
        <v>-1.8970532439610472E-3</v>
      </c>
      <c r="E28">
        <v>0.3456530214424951</v>
      </c>
    </row>
    <row r="29" spans="1:5" x14ac:dyDescent="0.35">
      <c r="A29" s="1">
        <v>43952</v>
      </c>
      <c r="B29">
        <v>7.8894919854126111E-3</v>
      </c>
      <c r="C29">
        <v>3.5097001763668458E-2</v>
      </c>
      <c r="D29">
        <v>-6.9944247339077545E-2</v>
      </c>
      <c r="E29">
        <v>9.5700544674933274E-2</v>
      </c>
    </row>
    <row r="30" spans="1:5" x14ac:dyDescent="0.35">
      <c r="A30" s="1">
        <v>43983</v>
      </c>
      <c r="B30">
        <v>3.1929417852958206E-2</v>
      </c>
      <c r="C30">
        <v>2.8000227182370621E-2</v>
      </c>
      <c r="D30">
        <v>-1.7029972752043598E-2</v>
      </c>
      <c r="E30">
        <v>-3.3781782798155399E-2</v>
      </c>
    </row>
    <row r="31" spans="1:5" x14ac:dyDescent="0.35">
      <c r="A31" s="1">
        <v>44013</v>
      </c>
      <c r="B31">
        <v>4.9790128817484396E-2</v>
      </c>
      <c r="C31">
        <v>9.7182320441989004E-2</v>
      </c>
      <c r="D31">
        <v>-5.4054054054054057E-2</v>
      </c>
      <c r="E31">
        <v>0.24060249140705389</v>
      </c>
    </row>
    <row r="32" spans="1:5" x14ac:dyDescent="0.35">
      <c r="A32" s="1">
        <v>44044</v>
      </c>
      <c r="B32">
        <v>1.7255608655379059E-2</v>
      </c>
      <c r="C32">
        <v>-3.6759152021754275E-3</v>
      </c>
      <c r="D32">
        <v>5.7142857142857143E-3</v>
      </c>
      <c r="E32">
        <v>2.7423368097834817E-2</v>
      </c>
    </row>
    <row r="33" spans="1:5" x14ac:dyDescent="0.35">
      <c r="A33" s="1">
        <v>44075</v>
      </c>
      <c r="B33">
        <v>-7.0335153832497499E-2</v>
      </c>
      <c r="C33">
        <v>-3.8410997675123827E-2</v>
      </c>
      <c r="D33">
        <v>9.6153846153846159E-3</v>
      </c>
      <c r="E33">
        <v>-7.4552137544872152E-2</v>
      </c>
    </row>
    <row r="34" spans="1:5" x14ac:dyDescent="0.35">
      <c r="A34" s="1">
        <v>44105</v>
      </c>
      <c r="B34">
        <v>5.3015991655099258E-2</v>
      </c>
      <c r="C34">
        <v>-8.09418690213385E-3</v>
      </c>
      <c r="D34">
        <v>-4.6320346320346317E-2</v>
      </c>
      <c r="E34">
        <v>0.28036116962537455</v>
      </c>
    </row>
    <row r="35" spans="1:5" x14ac:dyDescent="0.35">
      <c r="A35" s="1">
        <v>44136</v>
      </c>
      <c r="B35">
        <v>9.4416592079528516E-2</v>
      </c>
      <c r="C35">
        <v>-5.4260279779567662E-2</v>
      </c>
      <c r="D35">
        <v>-6.3701013769102741E-2</v>
      </c>
      <c r="E35">
        <v>0.42767787900531262</v>
      </c>
    </row>
    <row r="36" spans="1:5" x14ac:dyDescent="0.35">
      <c r="A36" s="1">
        <v>44166</v>
      </c>
      <c r="B36">
        <v>6.5328325392611325E-2</v>
      </c>
      <c r="C36">
        <v>6.4320932317346452E-2</v>
      </c>
      <c r="D36">
        <v>-3.9754363283775046E-2</v>
      </c>
      <c r="E36">
        <v>0.46965443367634457</v>
      </c>
    </row>
    <row r="37" spans="1:5" x14ac:dyDescent="0.35">
      <c r="A37" s="1">
        <v>44197</v>
      </c>
      <c r="B37">
        <v>-1.9521430590375987E-2</v>
      </c>
      <c r="C37">
        <v>-2.46894082964834E-2</v>
      </c>
      <c r="D37">
        <v>5.3012453719286437E-2</v>
      </c>
      <c r="E37">
        <v>0.14365409991226061</v>
      </c>
    </row>
    <row r="38" spans="1:5" x14ac:dyDescent="0.35">
      <c r="A38" s="1">
        <v>44228</v>
      </c>
      <c r="B38">
        <v>6.4726602812865117E-2</v>
      </c>
      <c r="C38">
        <v>-6.5364063259027438E-2</v>
      </c>
      <c r="D38">
        <v>5.4498961163496881E-2</v>
      </c>
      <c r="E38">
        <v>0.36413747693162707</v>
      </c>
    </row>
    <row r="39" spans="1:5" x14ac:dyDescent="0.35">
      <c r="A39" s="1">
        <v>44256</v>
      </c>
      <c r="B39">
        <v>-4.1058668973693445E-2</v>
      </c>
      <c r="C39">
        <v>-8.14275814275809E-3</v>
      </c>
      <c r="D39">
        <v>3.2737193088814794E-2</v>
      </c>
      <c r="E39">
        <v>0.3011181471968824</v>
      </c>
    </row>
    <row r="40" spans="1:5" x14ac:dyDescent="0.35">
      <c r="A40" s="1">
        <v>44287</v>
      </c>
      <c r="B40">
        <v>1.6874056055279163E-3</v>
      </c>
      <c r="C40">
        <v>3.0451237263464312E-2</v>
      </c>
      <c r="D40">
        <v>-4.960375697094218E-2</v>
      </c>
      <c r="E40">
        <v>-1.7755859484681773E-2</v>
      </c>
    </row>
    <row r="41" spans="1:5" x14ac:dyDescent="0.35">
      <c r="A41" s="1">
        <v>44317</v>
      </c>
      <c r="B41">
        <v>-8.0325304138687669E-3</v>
      </c>
      <c r="C41">
        <v>7.7466380381964142E-2</v>
      </c>
      <c r="D41">
        <v>-4.7869054972205062E-3</v>
      </c>
      <c r="E41">
        <v>-0.35380446740574811</v>
      </c>
    </row>
    <row r="42" spans="1:5" x14ac:dyDescent="0.35">
      <c r="A42" s="1">
        <v>44348</v>
      </c>
      <c r="B42">
        <v>6.3943263174531216E-3</v>
      </c>
      <c r="C42">
        <v>-6.9956473858094337E-2</v>
      </c>
      <c r="D42">
        <v>2.8704422032583398E-2</v>
      </c>
      <c r="E42">
        <v>-6.0905771262192071E-2</v>
      </c>
    </row>
    <row r="43" spans="1:5" x14ac:dyDescent="0.35">
      <c r="A43" s="1">
        <v>44378</v>
      </c>
      <c r="B43">
        <v>1.4125827626476727E-2</v>
      </c>
      <c r="C43">
        <v>2.464054130250919E-2</v>
      </c>
      <c r="D43">
        <v>-4.8717948717948718E-2</v>
      </c>
      <c r="E43">
        <v>0.18633678686952015</v>
      </c>
    </row>
    <row r="44" spans="1:5" x14ac:dyDescent="0.35">
      <c r="A44" s="1">
        <v>44409</v>
      </c>
      <c r="B44">
        <v>1.3222318139583959E-2</v>
      </c>
      <c r="C44">
        <v>4.9526744441991176E-4</v>
      </c>
      <c r="D44">
        <v>-3.6467417155541464E-2</v>
      </c>
      <c r="E44">
        <v>0.13420465566243209</v>
      </c>
    </row>
    <row r="45" spans="1:5" x14ac:dyDescent="0.35">
      <c r="A45" s="1">
        <v>44440</v>
      </c>
      <c r="B45">
        <v>2.2216802432401577E-2</v>
      </c>
      <c r="C45">
        <v>-3.278147516638244E-2</v>
      </c>
      <c r="D45">
        <v>4.5417146618397235E-2</v>
      </c>
      <c r="E45">
        <v>-7.0169147726308251E-2</v>
      </c>
    </row>
    <row r="46" spans="1:5" x14ac:dyDescent="0.35">
      <c r="A46" s="1">
        <v>44470</v>
      </c>
      <c r="B46">
        <v>4.8419421849103188E-2</v>
      </c>
      <c r="C46">
        <v>1.5581461472846227E-2</v>
      </c>
      <c r="D46">
        <v>-2.8962694789863058E-2</v>
      </c>
      <c r="E46">
        <v>0.39901833043152829</v>
      </c>
    </row>
    <row r="47" spans="1:5" x14ac:dyDescent="0.35">
      <c r="A47" s="1">
        <v>44501</v>
      </c>
      <c r="B47">
        <v>-8.7114172362262772E-3</v>
      </c>
      <c r="C47">
        <v>-4.2555574220281851E-3</v>
      </c>
      <c r="D47">
        <v>1.5885881017993191E-2</v>
      </c>
      <c r="E47">
        <v>-7.2202395709644124E-2</v>
      </c>
    </row>
    <row r="48" spans="1:5" x14ac:dyDescent="0.35">
      <c r="A48" s="1">
        <v>44531</v>
      </c>
      <c r="B48">
        <v>7.2773966051058502E-3</v>
      </c>
      <c r="C48">
        <v>2.9635044705617751E-2</v>
      </c>
      <c r="D48">
        <v>1.6116164033827988E-2</v>
      </c>
      <c r="E48">
        <v>-0.18746231292708357</v>
      </c>
    </row>
    <row r="49" spans="1:5" x14ac:dyDescent="0.35">
      <c r="A49" s="1">
        <v>44562</v>
      </c>
      <c r="B49">
        <v>7.5469347320055785E-3</v>
      </c>
      <c r="C49">
        <v>-1.7367558711086813E-2</v>
      </c>
      <c r="D49">
        <v>1.2719849246231155E-2</v>
      </c>
      <c r="E49">
        <v>-0.16704854011834835</v>
      </c>
    </row>
    <row r="50" spans="1:5" x14ac:dyDescent="0.35">
      <c r="A50" s="1">
        <v>44593</v>
      </c>
      <c r="B50">
        <v>3.8759491189311122E-2</v>
      </c>
      <c r="C50">
        <v>5.8248110271231633E-2</v>
      </c>
      <c r="D50">
        <v>9.4588308264847258E-3</v>
      </c>
      <c r="E50">
        <v>0.12181222174312829</v>
      </c>
    </row>
    <row r="51" spans="1:5" x14ac:dyDescent="0.35">
      <c r="A51" s="1">
        <v>44621</v>
      </c>
      <c r="B51">
        <v>2.6606486192994588E-2</v>
      </c>
      <c r="C51">
        <v>2.9149159663865547E-2</v>
      </c>
      <c r="D51">
        <v>3.6712749615975419E-2</v>
      </c>
      <c r="E51">
        <v>5.4107371921034056E-2</v>
      </c>
    </row>
    <row r="52" spans="1:5" x14ac:dyDescent="0.35">
      <c r="A52" s="1">
        <v>44652</v>
      </c>
      <c r="B52">
        <v>2.2268448859072587E-2</v>
      </c>
      <c r="C52">
        <v>-2.0872671599897981E-2</v>
      </c>
      <c r="D52">
        <v>3.6894354719217662E-2</v>
      </c>
      <c r="E52">
        <v>-0.17298187808896212</v>
      </c>
    </row>
    <row r="53" spans="1:5" x14ac:dyDescent="0.35">
      <c r="A53" s="1">
        <v>44682</v>
      </c>
      <c r="B53">
        <v>-1.105837532906062E-2</v>
      </c>
      <c r="C53">
        <v>-3.2471593870530571E-2</v>
      </c>
      <c r="D53">
        <v>7.0020005715918836E-3</v>
      </c>
      <c r="E53">
        <v>-0.15555378486055774</v>
      </c>
    </row>
    <row r="54" spans="1:5" x14ac:dyDescent="0.35">
      <c r="A54" s="1">
        <v>44713</v>
      </c>
      <c r="B54">
        <v>-3.3206182149316657E-2</v>
      </c>
      <c r="C54">
        <v>-2.1548241124818186E-2</v>
      </c>
      <c r="D54">
        <v>2.8664680005676173E-2</v>
      </c>
      <c r="E54">
        <v>-0.37324727773688887</v>
      </c>
    </row>
    <row r="55" spans="1:5" x14ac:dyDescent="0.35">
      <c r="A55" s="1">
        <v>44743</v>
      </c>
      <c r="B55">
        <v>5.7208337312163017E-3</v>
      </c>
      <c r="C55">
        <v>-1.8994659472554094E-2</v>
      </c>
      <c r="D55">
        <v>-7.1734032280314523E-3</v>
      </c>
      <c r="E55">
        <v>0.16946192526572537</v>
      </c>
    </row>
    <row r="56" spans="1:5" x14ac:dyDescent="0.35">
      <c r="A56" s="1">
        <v>44774</v>
      </c>
      <c r="B56">
        <v>3.2724222859050092E-2</v>
      </c>
      <c r="C56">
        <v>-3.1204400044898366E-2</v>
      </c>
      <c r="D56">
        <v>-1.1115742670557177E-2</v>
      </c>
      <c r="E56">
        <v>-0.13987229331342207</v>
      </c>
    </row>
    <row r="57" spans="1:5" x14ac:dyDescent="0.35">
      <c r="A57" s="1">
        <v>44805</v>
      </c>
      <c r="B57">
        <v>-1.919457720805896E-2</v>
      </c>
      <c r="C57">
        <v>-2.3925385239253825E-2</v>
      </c>
      <c r="D57">
        <v>3.6953772657018408E-2</v>
      </c>
      <c r="E57">
        <v>-3.0977005472986863E-2</v>
      </c>
    </row>
    <row r="58" spans="1:5" x14ac:dyDescent="0.35">
      <c r="A58" s="1">
        <v>44835</v>
      </c>
      <c r="B58">
        <v>8.2504828996705117E-3</v>
      </c>
      <c r="C58">
        <v>-1.780521099175025E-2</v>
      </c>
      <c r="D58">
        <v>2.1815718157181571E-2</v>
      </c>
      <c r="E58">
        <v>5.5259228749420755E-2</v>
      </c>
    </row>
    <row r="59" spans="1:5" x14ac:dyDescent="0.35">
      <c r="A59" s="1">
        <v>44866</v>
      </c>
      <c r="B59">
        <v>-2.4764435003218708E-3</v>
      </c>
      <c r="C59">
        <v>7.2632787479605901E-2</v>
      </c>
      <c r="D59">
        <v>-7.8504177164832253E-2</v>
      </c>
      <c r="E59">
        <v>-0.16258544225055244</v>
      </c>
    </row>
    <row r="60" spans="1:5" x14ac:dyDescent="0.35">
      <c r="A60" s="1">
        <v>44896</v>
      </c>
      <c r="B60">
        <v>-3.2577305611532402E-2</v>
      </c>
      <c r="C60">
        <v>3.7800687285223449E-2</v>
      </c>
      <c r="D60">
        <v>-3.4537343502662253E-3</v>
      </c>
      <c r="E60">
        <v>-3.6501028321069218E-2</v>
      </c>
    </row>
    <row r="61" spans="1:5" x14ac:dyDescent="0.35">
      <c r="A61" s="1">
        <v>44927</v>
      </c>
      <c r="B61">
        <v>-1.6465662961892128E-3</v>
      </c>
      <c r="C61">
        <v>6.5139507111062853E-2</v>
      </c>
      <c r="D61">
        <v>-3.1624548736462095E-2</v>
      </c>
      <c r="E61">
        <v>0.39835161512692424</v>
      </c>
    </row>
    <row r="62" spans="1:5" x14ac:dyDescent="0.35">
      <c r="A62" s="1">
        <v>44958</v>
      </c>
      <c r="B62">
        <v>5.7023046083388691E-4</v>
      </c>
      <c r="C62">
        <v>-5.5549892977270407E-2</v>
      </c>
      <c r="D62">
        <v>2.6692514166418133E-2</v>
      </c>
      <c r="E62">
        <v>2.3351250372977654E-4</v>
      </c>
    </row>
    <row r="63" spans="1:5" x14ac:dyDescent="0.35">
      <c r="A63" s="1">
        <v>44986</v>
      </c>
      <c r="B63">
        <v>-5.5470800381106078E-3</v>
      </c>
      <c r="C63">
        <v>8.142672134685941E-2</v>
      </c>
      <c r="D63">
        <v>-1.0167029774872912E-2</v>
      </c>
      <c r="E63">
        <v>0.23100235619636414</v>
      </c>
    </row>
    <row r="64" spans="1:5" x14ac:dyDescent="0.35">
      <c r="A64" s="1">
        <v>45017</v>
      </c>
      <c r="B64">
        <v>1.6228575459055396E-2</v>
      </c>
      <c r="C64">
        <v>7.0854747767077723E-3</v>
      </c>
      <c r="D64">
        <v>-4.0939104915627293E-2</v>
      </c>
      <c r="E64">
        <v>2.7337507945928975E-2</v>
      </c>
    </row>
    <row r="65" spans="1:5" x14ac:dyDescent="0.35">
      <c r="A65" s="1">
        <v>45047</v>
      </c>
      <c r="B65">
        <v>-4.0843180464217754E-2</v>
      </c>
      <c r="C65">
        <v>-1.793588663726901E-2</v>
      </c>
      <c r="D65">
        <v>-2.2031823745410038E-2</v>
      </c>
      <c r="E65">
        <v>-6.9601840551618513E-2</v>
      </c>
    </row>
    <row r="66" spans="1:5" x14ac:dyDescent="0.35">
      <c r="A66" s="1">
        <v>45078</v>
      </c>
      <c r="B66">
        <v>4.3146205636444054E-3</v>
      </c>
      <c r="C66">
        <v>-2.6587962262247022E-2</v>
      </c>
      <c r="D66">
        <v>-2.1120150187734669E-2</v>
      </c>
      <c r="E66">
        <v>0.1196644633139944</v>
      </c>
    </row>
    <row r="67" spans="1:5" x14ac:dyDescent="0.35">
      <c r="A67" s="1">
        <v>45108</v>
      </c>
      <c r="B67">
        <v>4.0451043849483864E-2</v>
      </c>
      <c r="C67">
        <v>4.1360008292733466E-2</v>
      </c>
      <c r="D67">
        <v>1.758031005274093E-3</v>
      </c>
      <c r="E67">
        <v>-4.0708301474424814E-2</v>
      </c>
    </row>
    <row r="68" spans="1:5" x14ac:dyDescent="0.35">
      <c r="A68" s="1">
        <v>45139</v>
      </c>
      <c r="B68">
        <v>3.1595531035757121E-3</v>
      </c>
      <c r="C68">
        <v>-2.1550866016324881E-2</v>
      </c>
      <c r="D68">
        <v>1.8028079132099552E-2</v>
      </c>
      <c r="E68">
        <v>-0.11272081662812503</v>
      </c>
    </row>
    <row r="69" spans="1:5" x14ac:dyDescent="0.35">
      <c r="A69" s="1">
        <v>45170</v>
      </c>
      <c r="B69">
        <v>-1.9228390711694789E-3</v>
      </c>
      <c r="C69">
        <v>-4.0948166234294724E-2</v>
      </c>
      <c r="D69">
        <v>8.290236640025074E-2</v>
      </c>
      <c r="E69">
        <v>3.9533798814834292E-2</v>
      </c>
    </row>
    <row r="70" spans="1:5" x14ac:dyDescent="0.35">
      <c r="A70" s="1">
        <v>45200</v>
      </c>
      <c r="B70">
        <v>-3.4333397215229697E-2</v>
      </c>
      <c r="C70">
        <v>6.2665747321523205E-2</v>
      </c>
      <c r="D70">
        <v>2.3444283646888567E-2</v>
      </c>
      <c r="E70">
        <v>0.2713378111242567</v>
      </c>
    </row>
    <row r="71" spans="1:5" x14ac:dyDescent="0.35">
      <c r="A71" s="1">
        <v>45231</v>
      </c>
      <c r="B71">
        <v>5.6571396169881299E-2</v>
      </c>
      <c r="C71">
        <v>1.724439120561002E-2</v>
      </c>
      <c r="D71">
        <v>-6.4479638009049781E-2</v>
      </c>
      <c r="E71">
        <v>0.10018466277892699</v>
      </c>
    </row>
    <row r="72" spans="1:5" x14ac:dyDescent="0.35">
      <c r="A72" s="1">
        <v>45261</v>
      </c>
      <c r="B72">
        <v>2.7124283620073665E-2</v>
      </c>
      <c r="C72">
        <v>1.6535008095775613E-2</v>
      </c>
      <c r="D72">
        <v>-2.0253929866989116E-2</v>
      </c>
      <c r="E72">
        <v>0.12090292711512501</v>
      </c>
    </row>
    <row r="73" spans="1:5" x14ac:dyDescent="0.35">
      <c r="A73" s="1">
        <v>45292</v>
      </c>
      <c r="B73">
        <v>-8.9181608183918955E-3</v>
      </c>
      <c r="C73">
        <v>-6.9504778453519109E-3</v>
      </c>
      <c r="D73">
        <v>1.5890157358839863E-2</v>
      </c>
      <c r="E73">
        <v>7.2860606777455789E-3</v>
      </c>
    </row>
    <row r="74" spans="1:5" x14ac:dyDescent="0.35">
      <c r="A74" s="1">
        <v>45323</v>
      </c>
      <c r="B74">
        <v>1.5007061657006035E-2</v>
      </c>
      <c r="C74">
        <v>-1.3123359580053818E-3</v>
      </c>
      <c r="D74">
        <v>3.1890660592255125E-3</v>
      </c>
      <c r="E74">
        <v>0.43655663977642356</v>
      </c>
    </row>
    <row r="75" spans="1:5" x14ac:dyDescent="0.35">
      <c r="A75" s="1">
        <v>45352</v>
      </c>
      <c r="B75">
        <v>-3.731491188623363E-3</v>
      </c>
      <c r="C75">
        <v>8.3905192972210108E-2</v>
      </c>
      <c r="D75">
        <v>1.3018468059339995E-2</v>
      </c>
      <c r="E75">
        <v>0.16614053127957973</v>
      </c>
    </row>
    <row r="76" spans="1:5" x14ac:dyDescent="0.35">
      <c r="A76" s="1">
        <v>45383</v>
      </c>
      <c r="B76">
        <v>-7.4923067002707682E-3</v>
      </c>
      <c r="C76">
        <v>3.4035292532890386E-2</v>
      </c>
      <c r="D76">
        <v>8.6072922893006582E-2</v>
      </c>
      <c r="E76">
        <v>-0.14951774799528966</v>
      </c>
    </row>
    <row r="77" spans="1:5" x14ac:dyDescent="0.35">
      <c r="A77" s="1">
        <v>45413</v>
      </c>
      <c r="B77">
        <v>-3.6418677946421174E-2</v>
      </c>
      <c r="C77">
        <v>1.3461287941291415E-2</v>
      </c>
      <c r="D77">
        <v>-4.6505228398458998E-2</v>
      </c>
      <c r="E77">
        <v>0.11313473970850529</v>
      </c>
    </row>
    <row r="78" spans="1:5" x14ac:dyDescent="0.35">
      <c r="A78" s="1">
        <v>45444</v>
      </c>
      <c r="B78">
        <v>1.3318528592373284E-2</v>
      </c>
      <c r="C78">
        <v>7.2839453275633055E-3</v>
      </c>
      <c r="D78">
        <v>1.7893217893217895E-2</v>
      </c>
      <c r="E78">
        <v>-7.07210562401063E-2</v>
      </c>
    </row>
    <row r="79" spans="1:5" x14ac:dyDescent="0.35">
      <c r="A79" s="1">
        <v>45474</v>
      </c>
      <c r="B79">
        <v>2.720716690403454E-2</v>
      </c>
      <c r="C79">
        <v>4.1856310349227994E-2</v>
      </c>
      <c r="D79">
        <v>-2.339098383895662E-2</v>
      </c>
      <c r="E79">
        <v>2.9825844603477324E-2</v>
      </c>
    </row>
    <row r="80" spans="1:5" x14ac:dyDescent="0.35">
      <c r="A80" s="1">
        <v>45505</v>
      </c>
      <c r="B80">
        <v>5.7191803477512945E-2</v>
      </c>
      <c r="C80">
        <v>2.7232270444616753E-2</v>
      </c>
      <c r="D80">
        <v>-3.8321962548991145E-2</v>
      </c>
      <c r="E80">
        <v>-8.7385881843221019E-2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17B30-8C62-4CCB-AFED-A0852A9C91E7}">
  <dimension ref="A1:O80"/>
  <sheetViews>
    <sheetView workbookViewId="0">
      <selection activeCell="J1" activeCellId="2" sqref="D1:D1048576 G1:G1048576 J1:J1048576"/>
    </sheetView>
  </sheetViews>
  <sheetFormatPr defaultRowHeight="15.5" x14ac:dyDescent="0.35"/>
  <cols>
    <col min="1" max="1" width="9" style="1"/>
    <col min="4" max="4" width="9" style="8"/>
    <col min="7" max="7" width="9" style="8"/>
    <col min="10" max="10" width="9" style="8"/>
  </cols>
  <sheetData>
    <row r="1" spans="1:15" x14ac:dyDescent="0.35">
      <c r="A1" s="1" t="s">
        <v>0</v>
      </c>
      <c r="B1" s="2" t="s">
        <v>9</v>
      </c>
      <c r="C1" s="2" t="s">
        <v>10</v>
      </c>
      <c r="D1" s="7" t="s">
        <v>6</v>
      </c>
      <c r="E1" s="2" t="s">
        <v>13</v>
      </c>
      <c r="F1" s="2" t="s">
        <v>11</v>
      </c>
      <c r="G1" s="7" t="s">
        <v>7</v>
      </c>
      <c r="H1" s="2" t="s">
        <v>14</v>
      </c>
      <c r="I1" s="2" t="s">
        <v>12</v>
      </c>
      <c r="J1" s="7" t="s">
        <v>8</v>
      </c>
    </row>
    <row r="2" spans="1:15" x14ac:dyDescent="0.35">
      <c r="A2" s="1">
        <v>43132</v>
      </c>
      <c r="B2" s="6">
        <v>2.1919033773205098E-2</v>
      </c>
      <c r="C2" s="5"/>
      <c r="D2" s="9">
        <f>B2-C2</f>
        <v>2.1919033773205098E-2</v>
      </c>
      <c r="E2" s="6">
        <v>-2.1538461538461513E-2</v>
      </c>
      <c r="F2" s="5"/>
      <c r="G2" s="9">
        <f>E2-F2</f>
        <v>-2.1538461538461513E-2</v>
      </c>
      <c r="H2" s="6">
        <v>3.5416666666666669E-3</v>
      </c>
      <c r="I2" s="5"/>
      <c r="J2" s="10">
        <f>H2-I2</f>
        <v>3.5416666666666669E-3</v>
      </c>
      <c r="L2" s="19" t="s">
        <v>15</v>
      </c>
    </row>
    <row r="3" spans="1:15" ht="15.4" customHeight="1" x14ac:dyDescent="0.35">
      <c r="A3" s="1">
        <v>43160</v>
      </c>
      <c r="B3" s="6">
        <v>3.5748157875538046E-3</v>
      </c>
      <c r="C3" s="5"/>
      <c r="D3" s="9">
        <f t="shared" ref="D3:D66" si="0">B3-C3</f>
        <v>3.5748157875538046E-3</v>
      </c>
      <c r="E3" s="6">
        <v>6.9182389937106931E-2</v>
      </c>
      <c r="F3" s="5"/>
      <c r="G3" s="9">
        <f t="shared" ref="G3:G66" si="1">E3-F3</f>
        <v>6.9182389937106931E-2</v>
      </c>
      <c r="H3" s="6">
        <v>3.5416666666666669E-3</v>
      </c>
      <c r="I3" s="5"/>
      <c r="J3" s="10">
        <f t="shared" ref="J3:J66" si="2">H3-I3</f>
        <v>3.5416666666666669E-3</v>
      </c>
      <c r="L3" s="21" t="s">
        <v>16</v>
      </c>
      <c r="M3" s="21"/>
      <c r="N3" s="21"/>
      <c r="O3" s="21"/>
    </row>
    <row r="4" spans="1:15" x14ac:dyDescent="0.35">
      <c r="A4" s="1">
        <v>43191</v>
      </c>
      <c r="B4" s="6">
        <v>8.7961616749054963E-3</v>
      </c>
      <c r="C4" s="5"/>
      <c r="D4" s="9">
        <f t="shared" si="0"/>
        <v>8.7961616749054963E-3</v>
      </c>
      <c r="E4" s="6">
        <v>2.9411764705881151E-3</v>
      </c>
      <c r="F4" s="5"/>
      <c r="G4" s="9">
        <f t="shared" si="1"/>
        <v>2.9411764705881151E-3</v>
      </c>
      <c r="H4" s="6">
        <v>3.5416666666666669E-3</v>
      </c>
      <c r="I4" s="5"/>
      <c r="J4" s="10">
        <f t="shared" si="2"/>
        <v>3.5416666666666669E-3</v>
      </c>
      <c r="L4" s="21"/>
      <c r="M4" s="21"/>
      <c r="N4" s="21"/>
      <c r="O4" s="21"/>
    </row>
    <row r="5" spans="1:15" x14ac:dyDescent="0.35">
      <c r="A5" s="1">
        <v>43221</v>
      </c>
      <c r="B5" s="6">
        <v>5.3325646753621097E-3</v>
      </c>
      <c r="C5" s="5"/>
      <c r="D5" s="9">
        <f t="shared" si="0"/>
        <v>5.3325646753621097E-3</v>
      </c>
      <c r="E5" s="6">
        <v>-5.2785923753665573E-2</v>
      </c>
      <c r="F5" s="5"/>
      <c r="G5" s="9">
        <f t="shared" si="1"/>
        <v>-5.2785923753665573E-2</v>
      </c>
      <c r="H5" s="6">
        <v>3.9583333333333337E-3</v>
      </c>
      <c r="I5" s="5"/>
      <c r="J5" s="10">
        <f t="shared" si="2"/>
        <v>3.9583333333333337E-3</v>
      </c>
      <c r="L5" s="21"/>
      <c r="M5" s="21"/>
      <c r="N5" s="21"/>
      <c r="O5" s="21"/>
    </row>
    <row r="6" spans="1:15" x14ac:dyDescent="0.35">
      <c r="A6" s="1">
        <v>43252</v>
      </c>
      <c r="B6" s="6">
        <v>3.2470790624328005E-2</v>
      </c>
      <c r="C6" s="5"/>
      <c r="D6" s="9">
        <f t="shared" si="0"/>
        <v>3.2470790624328005E-2</v>
      </c>
      <c r="E6" s="6">
        <v>-3.4055727554179571E-2</v>
      </c>
      <c r="F6" s="5"/>
      <c r="G6" s="9">
        <f t="shared" si="1"/>
        <v>-3.4055727554179571E-2</v>
      </c>
      <c r="H6" s="6">
        <v>4.3749999999999995E-3</v>
      </c>
      <c r="I6" s="5"/>
      <c r="J6" s="10">
        <f t="shared" si="2"/>
        <v>4.3749999999999995E-3</v>
      </c>
      <c r="L6" s="21"/>
      <c r="M6" s="21"/>
      <c r="N6" s="21"/>
      <c r="O6" s="21"/>
    </row>
    <row r="7" spans="1:15" x14ac:dyDescent="0.35">
      <c r="A7" s="1">
        <v>43282</v>
      </c>
      <c r="B7" s="6">
        <v>6.248264371008053E-4</v>
      </c>
      <c r="C7" s="5"/>
      <c r="D7" s="9">
        <f t="shared" si="0"/>
        <v>6.248264371008053E-4</v>
      </c>
      <c r="E7" s="6">
        <v>1.9230769230769225E-2</v>
      </c>
      <c r="F7" s="5"/>
      <c r="G7" s="9">
        <f t="shared" si="1"/>
        <v>1.9230769230769225E-2</v>
      </c>
      <c r="H7" s="6">
        <v>4.3749999999999995E-3</v>
      </c>
      <c r="I7" s="5"/>
      <c r="J7" s="10">
        <f t="shared" si="2"/>
        <v>4.3749999999999995E-3</v>
      </c>
      <c r="L7" s="21"/>
      <c r="M7" s="21"/>
      <c r="N7" s="21"/>
      <c r="O7" s="21"/>
    </row>
    <row r="8" spans="1:15" x14ac:dyDescent="0.35">
      <c r="A8" s="1">
        <v>43313</v>
      </c>
      <c r="B8" s="6">
        <v>2.0675778810795808E-2</v>
      </c>
      <c r="C8" s="5"/>
      <c r="D8" s="9">
        <f t="shared" si="0"/>
        <v>2.0675778810795808E-2</v>
      </c>
      <c r="E8" s="6">
        <v>6.2893081761005902E-3</v>
      </c>
      <c r="F8" s="5"/>
      <c r="G8" s="9">
        <f t="shared" si="1"/>
        <v>6.2893081761005902E-3</v>
      </c>
      <c r="H8" s="6">
        <v>4.5833333333333334E-3</v>
      </c>
      <c r="I8" s="5"/>
      <c r="J8" s="10">
        <f t="shared" si="2"/>
        <v>4.5833333333333334E-3</v>
      </c>
    </row>
    <row r="9" spans="1:15" x14ac:dyDescent="0.35">
      <c r="A9" s="1">
        <v>43344</v>
      </c>
      <c r="B9" s="6">
        <v>1.4818843042621169E-2</v>
      </c>
      <c r="C9" s="5"/>
      <c r="D9" s="9">
        <f t="shared" si="0"/>
        <v>1.4818843042621169E-2</v>
      </c>
      <c r="E9" s="6">
        <v>-0.10000000000000005</v>
      </c>
      <c r="F9" s="5"/>
      <c r="G9" s="9">
        <f t="shared" si="1"/>
        <v>-0.10000000000000005</v>
      </c>
      <c r="H9" s="6">
        <v>4.7916666666666672E-3</v>
      </c>
      <c r="I9" s="5"/>
      <c r="J9" s="10">
        <f t="shared" si="2"/>
        <v>4.7916666666666672E-3</v>
      </c>
    </row>
    <row r="10" spans="1:15" x14ac:dyDescent="0.35">
      <c r="A10" s="1">
        <v>43374</v>
      </c>
      <c r="B10" s="6">
        <v>1.9961149440685912E-2</v>
      </c>
      <c r="C10" s="5"/>
      <c r="D10" s="9">
        <f t="shared" si="0"/>
        <v>1.9961149440685912E-2</v>
      </c>
      <c r="E10" s="6">
        <v>9.7222222222222363E-2</v>
      </c>
      <c r="F10" s="5"/>
      <c r="G10" s="9">
        <f t="shared" si="1"/>
        <v>9.7222222222222363E-2</v>
      </c>
      <c r="H10" s="6">
        <v>4.7916666666666672E-3</v>
      </c>
      <c r="I10" s="5"/>
      <c r="J10" s="10">
        <f t="shared" si="2"/>
        <v>4.7916666666666672E-3</v>
      </c>
    </row>
    <row r="11" spans="1:15" x14ac:dyDescent="0.35">
      <c r="A11" s="1">
        <v>43405</v>
      </c>
      <c r="B11" s="6">
        <v>-5.8317462402311684E-2</v>
      </c>
      <c r="C11" s="5"/>
      <c r="D11" s="9">
        <f t="shared" si="0"/>
        <v>-5.8317462402311684E-2</v>
      </c>
      <c r="E11" s="6">
        <v>2.2151898734177188E-2</v>
      </c>
      <c r="F11" s="5"/>
      <c r="G11" s="9">
        <f t="shared" si="1"/>
        <v>2.2151898734177188E-2</v>
      </c>
      <c r="H11" s="6">
        <v>5.0000000000000001E-3</v>
      </c>
      <c r="I11" s="5"/>
      <c r="J11" s="10">
        <f t="shared" si="2"/>
        <v>5.0000000000000001E-3</v>
      </c>
    </row>
    <row r="12" spans="1:15" x14ac:dyDescent="0.35">
      <c r="A12" s="1">
        <v>43435</v>
      </c>
      <c r="B12" s="6">
        <v>9.9030615803054611E-3</v>
      </c>
      <c r="C12" s="5"/>
      <c r="D12" s="9">
        <f t="shared" si="0"/>
        <v>9.9030615803054611E-3</v>
      </c>
      <c r="E12" s="6">
        <v>-3.0959752321981449E-2</v>
      </c>
      <c r="F12" s="5"/>
      <c r="G12" s="9">
        <f t="shared" si="1"/>
        <v>-3.0959752321981449E-2</v>
      </c>
      <c r="H12" s="6">
        <v>5.0000000000000001E-3</v>
      </c>
      <c r="I12" s="5"/>
      <c r="J12" s="10">
        <f t="shared" si="2"/>
        <v>5.0000000000000001E-3</v>
      </c>
    </row>
    <row r="13" spans="1:15" x14ac:dyDescent="0.35">
      <c r="A13" s="1">
        <v>43466</v>
      </c>
      <c r="B13" s="6">
        <v>-2.8243905807609972E-2</v>
      </c>
      <c r="C13" s="5"/>
      <c r="D13" s="9">
        <f t="shared" si="0"/>
        <v>-2.8243905807609972E-2</v>
      </c>
      <c r="E13" s="6">
        <v>-9.9041533546325944E-2</v>
      </c>
      <c r="F13" s="5"/>
      <c r="G13" s="9">
        <f t="shared" si="1"/>
        <v>-9.9041533546325944E-2</v>
      </c>
      <c r="H13" s="6">
        <v>5.0000000000000001E-3</v>
      </c>
      <c r="I13" s="5"/>
      <c r="J13" s="10">
        <f t="shared" si="2"/>
        <v>5.0000000000000001E-3</v>
      </c>
    </row>
    <row r="14" spans="1:15" x14ac:dyDescent="0.35">
      <c r="A14" s="1">
        <v>43497</v>
      </c>
      <c r="B14" s="6">
        <v>-7.1063104036384311E-4</v>
      </c>
      <c r="C14" s="5"/>
      <c r="D14" s="9">
        <f t="shared" si="0"/>
        <v>-7.1063104036384311E-4</v>
      </c>
      <c r="E14" s="6">
        <v>-8.8652482269503632E-2</v>
      </c>
      <c r="F14" s="5"/>
      <c r="G14" s="9">
        <f t="shared" si="1"/>
        <v>-8.8652482269503632E-2</v>
      </c>
      <c r="H14" s="6">
        <v>5.0000000000000001E-3</v>
      </c>
      <c r="I14" s="5"/>
      <c r="J14" s="10">
        <f t="shared" si="2"/>
        <v>5.0000000000000001E-3</v>
      </c>
    </row>
    <row r="15" spans="1:15" x14ac:dyDescent="0.35">
      <c r="A15" s="1">
        <v>43525</v>
      </c>
      <c r="B15" s="6">
        <v>1.2942682406485564E-2</v>
      </c>
      <c r="C15" s="5"/>
      <c r="D15" s="9">
        <f t="shared" si="0"/>
        <v>1.2942682406485564E-2</v>
      </c>
      <c r="E15" s="6">
        <v>-3.5019455252918212E-2</v>
      </c>
      <c r="F15" s="5"/>
      <c r="G15" s="9">
        <f t="shared" si="1"/>
        <v>-3.5019455252918212E-2</v>
      </c>
      <c r="H15" s="6">
        <v>5.0000000000000001E-3</v>
      </c>
      <c r="I15" s="5"/>
      <c r="J15" s="10">
        <f t="shared" si="2"/>
        <v>5.0000000000000001E-3</v>
      </c>
    </row>
    <row r="16" spans="1:15" x14ac:dyDescent="0.35">
      <c r="A16" s="1">
        <v>43556</v>
      </c>
      <c r="B16" s="6">
        <v>-2.0359449592811008E-3</v>
      </c>
      <c r="C16" s="5"/>
      <c r="D16" s="9">
        <f t="shared" si="0"/>
        <v>-2.0359449592811008E-3</v>
      </c>
      <c r="E16" s="6">
        <v>0.14112903225806464</v>
      </c>
      <c r="F16" s="5"/>
      <c r="G16" s="9">
        <f t="shared" si="1"/>
        <v>0.14112903225806464</v>
      </c>
      <c r="H16" s="6">
        <v>5.0000000000000001E-3</v>
      </c>
      <c r="I16" s="5"/>
      <c r="J16" s="10">
        <f t="shared" si="2"/>
        <v>5.0000000000000001E-3</v>
      </c>
    </row>
    <row r="17" spans="1:10" x14ac:dyDescent="0.35">
      <c r="A17" s="1">
        <v>43586</v>
      </c>
      <c r="B17" s="6">
        <v>1.1959198030249736E-2</v>
      </c>
      <c r="C17" s="5"/>
      <c r="D17" s="9">
        <f t="shared" si="0"/>
        <v>1.1959198030249736E-2</v>
      </c>
      <c r="E17" s="6">
        <v>0.17314487632508826</v>
      </c>
      <c r="F17" s="5"/>
      <c r="G17" s="9">
        <f t="shared" si="1"/>
        <v>0.17314487632508826</v>
      </c>
      <c r="H17" s="6">
        <v>5.0000000000000001E-3</v>
      </c>
      <c r="I17" s="5"/>
      <c r="J17" s="10">
        <f t="shared" si="2"/>
        <v>5.0000000000000001E-3</v>
      </c>
    </row>
    <row r="18" spans="1:10" x14ac:dyDescent="0.35">
      <c r="A18" s="1">
        <v>43617</v>
      </c>
      <c r="B18" s="6">
        <v>-1.6962113312478277E-2</v>
      </c>
      <c r="C18" s="5"/>
      <c r="D18" s="9">
        <f t="shared" si="0"/>
        <v>-1.6962113312478277E-2</v>
      </c>
      <c r="E18" s="6">
        <v>-1.2048192771084473E-2</v>
      </c>
      <c r="F18" s="5"/>
      <c r="G18" s="9">
        <f t="shared" si="1"/>
        <v>-1.2048192771084473E-2</v>
      </c>
      <c r="H18" s="6">
        <v>5.0000000000000001E-3</v>
      </c>
      <c r="I18" s="5"/>
      <c r="J18" s="10">
        <f t="shared" si="2"/>
        <v>5.0000000000000001E-3</v>
      </c>
    </row>
    <row r="19" spans="1:10" x14ac:dyDescent="0.35">
      <c r="A19" s="1">
        <v>43647</v>
      </c>
      <c r="B19" s="6">
        <v>-8.1323810197298629E-3</v>
      </c>
      <c r="C19" s="5"/>
      <c r="D19" s="9">
        <f t="shared" si="0"/>
        <v>-8.1323810197298629E-3</v>
      </c>
      <c r="E19" s="6">
        <v>1.2195121951219651E-2</v>
      </c>
      <c r="F19" s="5"/>
      <c r="G19" s="9">
        <f t="shared" si="1"/>
        <v>1.2195121951219651E-2</v>
      </c>
      <c r="H19" s="6">
        <v>4.7916666666666672E-3</v>
      </c>
      <c r="I19" s="5"/>
      <c r="J19" s="10">
        <f t="shared" si="2"/>
        <v>4.7916666666666672E-3</v>
      </c>
    </row>
    <row r="20" spans="1:10" x14ac:dyDescent="0.35">
      <c r="A20" s="1">
        <v>43678</v>
      </c>
      <c r="B20" s="6">
        <v>1.5043490660202481E-2</v>
      </c>
      <c r="C20" s="5"/>
      <c r="D20" s="9">
        <f t="shared" si="0"/>
        <v>1.5043490660202481E-2</v>
      </c>
      <c r="E20" s="6">
        <v>5.1204819277108439E-2</v>
      </c>
      <c r="F20" s="5"/>
      <c r="G20" s="9">
        <f t="shared" si="1"/>
        <v>5.1204819277108439E-2</v>
      </c>
      <c r="H20" s="6">
        <v>4.5833333333333334E-3</v>
      </c>
      <c r="I20" s="5"/>
      <c r="J20" s="10">
        <f t="shared" si="2"/>
        <v>4.5833333333333334E-3</v>
      </c>
    </row>
    <row r="21" spans="1:10" x14ac:dyDescent="0.35">
      <c r="A21" s="1">
        <v>43709</v>
      </c>
      <c r="B21" s="6">
        <v>-4.4250895553838588E-3</v>
      </c>
      <c r="C21" s="5"/>
      <c r="D21" s="9">
        <f t="shared" si="0"/>
        <v>-4.4250895553838588E-3</v>
      </c>
      <c r="E21" s="6">
        <v>-2.8653295128939854E-2</v>
      </c>
      <c r="F21" s="5"/>
      <c r="G21" s="9">
        <f t="shared" si="1"/>
        <v>-2.8653295128939854E-2</v>
      </c>
      <c r="H21" s="6">
        <v>4.3749999999999995E-3</v>
      </c>
      <c r="I21" s="5"/>
      <c r="J21" s="10">
        <f t="shared" si="2"/>
        <v>4.3749999999999995E-3</v>
      </c>
    </row>
    <row r="22" spans="1:10" x14ac:dyDescent="0.35">
      <c r="A22" s="1">
        <v>43739</v>
      </c>
      <c r="B22" s="6">
        <v>-1.1711584591505574E-2</v>
      </c>
      <c r="C22" s="5"/>
      <c r="D22" s="9">
        <f t="shared" si="0"/>
        <v>-1.1711584591505574E-2</v>
      </c>
      <c r="E22" s="6">
        <v>-7.6696165191740356E-2</v>
      </c>
      <c r="F22" s="5"/>
      <c r="G22" s="9">
        <f t="shared" si="1"/>
        <v>-7.6696165191740356E-2</v>
      </c>
      <c r="H22" s="6">
        <v>4.1666666666666666E-3</v>
      </c>
      <c r="I22" s="5"/>
      <c r="J22" s="10">
        <f t="shared" si="2"/>
        <v>4.1666666666666666E-3</v>
      </c>
    </row>
    <row r="23" spans="1:10" x14ac:dyDescent="0.35">
      <c r="A23" s="1">
        <v>43770</v>
      </c>
      <c r="B23" s="6">
        <v>6.7104511707595663E-3</v>
      </c>
      <c r="C23" s="5"/>
      <c r="D23" s="9">
        <f t="shared" si="0"/>
        <v>6.7104511707595663E-3</v>
      </c>
      <c r="E23" s="6">
        <v>-4.1533546325878676E-2</v>
      </c>
      <c r="F23" s="5"/>
      <c r="G23" s="9">
        <f t="shared" si="1"/>
        <v>-4.1533546325878676E-2</v>
      </c>
      <c r="H23" s="6">
        <v>4.1666666666666666E-3</v>
      </c>
      <c r="I23" s="5"/>
      <c r="J23" s="10">
        <f t="shared" si="2"/>
        <v>4.1666666666666666E-3</v>
      </c>
    </row>
    <row r="24" spans="1:10" x14ac:dyDescent="0.35">
      <c r="A24" s="1">
        <v>43800</v>
      </c>
      <c r="B24" s="6">
        <v>-1.4253297404623458E-2</v>
      </c>
      <c r="C24" s="5"/>
      <c r="D24" s="9">
        <f t="shared" si="0"/>
        <v>-1.4253297404623458E-2</v>
      </c>
      <c r="E24" s="6">
        <v>-9.333333333333324E-2</v>
      </c>
      <c r="F24" s="5"/>
      <c r="G24" s="9">
        <f t="shared" si="1"/>
        <v>-9.333333333333324E-2</v>
      </c>
      <c r="H24" s="6">
        <v>4.1666666666666666E-3</v>
      </c>
      <c r="I24" s="5"/>
      <c r="J24" s="10">
        <f t="shared" si="2"/>
        <v>4.1666666666666666E-3</v>
      </c>
    </row>
    <row r="25" spans="1:10" x14ac:dyDescent="0.35">
      <c r="A25" s="1">
        <v>43831</v>
      </c>
      <c r="B25" s="6">
        <v>-1.7193007697287963E-2</v>
      </c>
      <c r="C25" s="5"/>
      <c r="D25" s="9">
        <f t="shared" si="0"/>
        <v>-1.7193007697287963E-2</v>
      </c>
      <c r="E25" s="6">
        <v>-1.4705882352941214E-2</v>
      </c>
      <c r="F25" s="5"/>
      <c r="G25" s="9">
        <f t="shared" si="1"/>
        <v>-1.4705882352941214E-2</v>
      </c>
      <c r="H25" s="6">
        <v>4.1666666666666666E-3</v>
      </c>
      <c r="I25" s="5"/>
      <c r="J25" s="10">
        <f t="shared" si="2"/>
        <v>4.1666666666666666E-3</v>
      </c>
    </row>
    <row r="26" spans="1:10" x14ac:dyDescent="0.35">
      <c r="A26" s="1">
        <v>43862</v>
      </c>
      <c r="B26" s="6">
        <v>4.1867954911433171E-2</v>
      </c>
      <c r="C26" s="5"/>
      <c r="D26" s="9">
        <f t="shared" si="0"/>
        <v>4.1867954911433171E-2</v>
      </c>
      <c r="E26" s="6">
        <v>0.11194029850746265</v>
      </c>
      <c r="F26" s="5"/>
      <c r="G26" s="9">
        <f t="shared" si="1"/>
        <v>0.11194029850746265</v>
      </c>
      <c r="H26" s="6">
        <v>3.9583333333333337E-3</v>
      </c>
      <c r="I26" s="5"/>
      <c r="J26" s="10">
        <f t="shared" si="2"/>
        <v>3.9583333333333337E-3</v>
      </c>
    </row>
    <row r="27" spans="1:10" x14ac:dyDescent="0.35">
      <c r="A27" s="1">
        <v>43891</v>
      </c>
      <c r="B27" s="6">
        <v>0.14985246592665449</v>
      </c>
      <c r="C27" s="5"/>
      <c r="D27" s="9">
        <f t="shared" si="0"/>
        <v>0.14985246592665449</v>
      </c>
      <c r="E27" s="6">
        <v>-6.7114093959731135E-3</v>
      </c>
      <c r="F27" s="5"/>
      <c r="G27" s="9">
        <f t="shared" si="1"/>
        <v>-6.7114093959731135E-3</v>
      </c>
      <c r="H27" s="6">
        <v>3.7499999999999999E-3</v>
      </c>
      <c r="I27" s="5"/>
      <c r="J27" s="10">
        <f t="shared" si="2"/>
        <v>3.7499999999999999E-3</v>
      </c>
    </row>
    <row r="28" spans="1:10" x14ac:dyDescent="0.35">
      <c r="A28" s="1">
        <v>43922</v>
      </c>
      <c r="B28" s="6">
        <v>-7.3929247876825324E-2</v>
      </c>
      <c r="C28" s="5"/>
      <c r="D28" s="9">
        <f t="shared" si="0"/>
        <v>-7.3929247876825324E-2</v>
      </c>
      <c r="E28" s="6">
        <v>-9.7972972972973082E-2</v>
      </c>
      <c r="F28" s="5"/>
      <c r="G28" s="9">
        <f t="shared" si="1"/>
        <v>-9.7972972972973082E-2</v>
      </c>
      <c r="H28" s="6">
        <v>3.7499999999999999E-3</v>
      </c>
      <c r="I28" s="5"/>
      <c r="J28" s="10">
        <f t="shared" si="2"/>
        <v>3.7499999999999999E-3</v>
      </c>
    </row>
    <row r="29" spans="1:10" x14ac:dyDescent="0.35">
      <c r="A29" s="1">
        <v>43952</v>
      </c>
      <c r="B29" s="6">
        <v>-2.7973873457808274E-2</v>
      </c>
      <c r="C29" s="5"/>
      <c r="D29" s="9">
        <f t="shared" si="0"/>
        <v>-2.7973873457808274E-2</v>
      </c>
      <c r="E29" s="6">
        <v>-0.17977528089887637</v>
      </c>
      <c r="F29" s="5"/>
      <c r="G29" s="9">
        <f t="shared" si="1"/>
        <v>-0.17977528089887637</v>
      </c>
      <c r="H29" s="6">
        <v>3.7499999999999999E-3</v>
      </c>
      <c r="I29" s="5"/>
      <c r="J29" s="10">
        <f t="shared" si="2"/>
        <v>3.7499999999999999E-3</v>
      </c>
    </row>
    <row r="30" spans="1:10" x14ac:dyDescent="0.35">
      <c r="A30" s="1">
        <v>43983</v>
      </c>
      <c r="B30" s="6">
        <v>-2.9254055521618135E-2</v>
      </c>
      <c r="C30" s="5"/>
      <c r="D30" s="9">
        <f t="shared" si="0"/>
        <v>-2.9254055521618135E-2</v>
      </c>
      <c r="E30" s="6">
        <v>-0.10502283105022832</v>
      </c>
      <c r="F30" s="5"/>
      <c r="G30" s="9">
        <f t="shared" si="1"/>
        <v>-0.10502283105022832</v>
      </c>
      <c r="H30" s="6">
        <v>3.5416666666666669E-3</v>
      </c>
      <c r="I30" s="5"/>
      <c r="J30" s="10">
        <f t="shared" si="2"/>
        <v>3.5416666666666669E-3</v>
      </c>
    </row>
    <row r="31" spans="1:10" x14ac:dyDescent="0.35">
      <c r="A31" s="1">
        <v>44013</v>
      </c>
      <c r="B31" s="6">
        <v>2.4542022094811915E-2</v>
      </c>
      <c r="C31" s="5"/>
      <c r="D31" s="9">
        <f t="shared" si="0"/>
        <v>2.4542022094811915E-2</v>
      </c>
      <c r="E31" s="6">
        <v>-0.21428571428571425</v>
      </c>
      <c r="F31" s="5"/>
      <c r="G31" s="9">
        <f t="shared" si="1"/>
        <v>-0.21428571428571425</v>
      </c>
      <c r="H31" s="6">
        <v>3.3333333333333335E-3</v>
      </c>
      <c r="I31" s="5"/>
      <c r="J31" s="10">
        <f t="shared" si="2"/>
        <v>3.3333333333333335E-3</v>
      </c>
    </row>
    <row r="32" spans="1:10" x14ac:dyDescent="0.35">
      <c r="A32" s="1">
        <v>44044</v>
      </c>
      <c r="B32" s="6">
        <v>-6.7562956391182694E-3</v>
      </c>
      <c r="C32" s="5"/>
      <c r="D32" s="9">
        <f t="shared" si="0"/>
        <v>-6.7562956391182694E-3</v>
      </c>
      <c r="E32" s="6">
        <v>-0.14285714285714288</v>
      </c>
      <c r="F32" s="5"/>
      <c r="G32" s="9">
        <f t="shared" si="1"/>
        <v>-0.14285714285714288</v>
      </c>
      <c r="H32" s="6">
        <v>3.3333333333333335E-3</v>
      </c>
      <c r="I32" s="5"/>
      <c r="J32" s="10">
        <f t="shared" si="2"/>
        <v>3.3333333333333335E-3</v>
      </c>
    </row>
    <row r="33" spans="1:10" x14ac:dyDescent="0.35">
      <c r="A33" s="1">
        <v>44075</v>
      </c>
      <c r="B33" s="6">
        <v>2.5010306444963583E-2</v>
      </c>
      <c r="C33" s="5"/>
      <c r="D33" s="9">
        <f t="shared" si="0"/>
        <v>2.5010306444963583E-2</v>
      </c>
      <c r="E33" s="6">
        <v>7.575757575757569E-2</v>
      </c>
      <c r="F33" s="5"/>
      <c r="G33" s="9">
        <f t="shared" si="1"/>
        <v>7.575757575757569E-2</v>
      </c>
      <c r="H33" s="6">
        <v>3.3333333333333335E-3</v>
      </c>
      <c r="I33" s="5"/>
      <c r="J33" s="10">
        <f t="shared" si="2"/>
        <v>3.3333333333333335E-3</v>
      </c>
    </row>
    <row r="34" spans="1:10" x14ac:dyDescent="0.35">
      <c r="A34" s="1">
        <v>44105</v>
      </c>
      <c r="B34" s="6">
        <v>-1.5283550073736427E-2</v>
      </c>
      <c r="C34" s="5"/>
      <c r="D34" s="9">
        <f t="shared" si="0"/>
        <v>-1.5283550073736427E-2</v>
      </c>
      <c r="E34" s="6">
        <v>1.408450704225356E-2</v>
      </c>
      <c r="F34" s="5"/>
      <c r="G34" s="9">
        <f t="shared" si="1"/>
        <v>1.408450704225356E-2</v>
      </c>
      <c r="H34" s="6">
        <v>3.3333333333333335E-3</v>
      </c>
      <c r="I34" s="5"/>
      <c r="J34" s="10">
        <f t="shared" si="2"/>
        <v>3.3333333333333335E-3</v>
      </c>
    </row>
    <row r="35" spans="1:10" x14ac:dyDescent="0.35">
      <c r="A35" s="1">
        <v>44136</v>
      </c>
      <c r="B35" s="6">
        <v>-3.82573179033356E-2</v>
      </c>
      <c r="C35" s="5"/>
      <c r="D35" s="9">
        <f t="shared" si="0"/>
        <v>-3.82573179033356E-2</v>
      </c>
      <c r="E35" s="6">
        <v>0.10416666666666677</v>
      </c>
      <c r="F35" s="5"/>
      <c r="G35" s="9">
        <f t="shared" si="1"/>
        <v>0.10416666666666677</v>
      </c>
      <c r="H35" s="6">
        <v>3.1249999999999997E-3</v>
      </c>
      <c r="I35" s="5"/>
      <c r="J35" s="10">
        <f t="shared" si="2"/>
        <v>3.1249999999999997E-3</v>
      </c>
    </row>
    <row r="36" spans="1:10" x14ac:dyDescent="0.35">
      <c r="A36" s="1">
        <v>44166</v>
      </c>
      <c r="B36" s="6">
        <v>-1.6279728199320499E-3</v>
      </c>
      <c r="C36" s="5"/>
      <c r="D36" s="9">
        <f t="shared" si="0"/>
        <v>-1.6279728199320499E-3</v>
      </c>
      <c r="E36" s="6">
        <v>5.660377358490553E-2</v>
      </c>
      <c r="F36" s="5"/>
      <c r="G36" s="9">
        <f t="shared" si="1"/>
        <v>5.660377358490553E-2</v>
      </c>
      <c r="H36" s="6">
        <v>3.1249999999999997E-3</v>
      </c>
      <c r="I36" s="5"/>
      <c r="J36" s="10">
        <f t="shared" si="2"/>
        <v>3.1249999999999997E-3</v>
      </c>
    </row>
    <row r="37" spans="1:10" x14ac:dyDescent="0.35">
      <c r="A37" s="1">
        <v>44197</v>
      </c>
      <c r="B37" s="6">
        <v>-1.488833746898263E-3</v>
      </c>
      <c r="C37" s="5"/>
      <c r="D37" s="9">
        <f t="shared" si="0"/>
        <v>-1.488833746898263E-3</v>
      </c>
      <c r="E37" s="6">
        <v>-7.7380952380952328E-2</v>
      </c>
      <c r="F37" s="5"/>
      <c r="G37" s="9">
        <f t="shared" si="1"/>
        <v>-7.7380952380952328E-2</v>
      </c>
      <c r="H37" s="6">
        <v>3.1249999999999997E-3</v>
      </c>
      <c r="I37" s="5"/>
      <c r="J37" s="10">
        <f t="shared" si="2"/>
        <v>3.1249999999999997E-3</v>
      </c>
    </row>
    <row r="38" spans="1:10" x14ac:dyDescent="0.35">
      <c r="A38" s="1">
        <v>44228</v>
      </c>
      <c r="B38" s="6">
        <v>1.02953706333428E-2</v>
      </c>
      <c r="C38" s="5"/>
      <c r="D38" s="9">
        <f t="shared" si="0"/>
        <v>1.02953706333428E-2</v>
      </c>
      <c r="E38" s="6">
        <v>-0.10967741935483871</v>
      </c>
      <c r="F38" s="5"/>
      <c r="G38" s="9">
        <f t="shared" si="1"/>
        <v>-0.10967741935483871</v>
      </c>
      <c r="H38" s="6">
        <v>2.9166666666666668E-3</v>
      </c>
      <c r="I38" s="5"/>
      <c r="J38" s="10">
        <f t="shared" si="2"/>
        <v>2.9166666666666668E-3</v>
      </c>
    </row>
    <row r="39" spans="1:10" x14ac:dyDescent="0.35">
      <c r="A39" s="1">
        <v>44256</v>
      </c>
      <c r="B39" s="6">
        <v>2.4105699627521258E-2</v>
      </c>
      <c r="C39" s="5"/>
      <c r="D39" s="9">
        <f t="shared" si="0"/>
        <v>2.4105699627521258E-2</v>
      </c>
      <c r="E39" s="6">
        <v>-7.2463768115941588E-3</v>
      </c>
      <c r="F39" s="5"/>
      <c r="G39" s="9">
        <f t="shared" si="1"/>
        <v>-7.2463768115941588E-3</v>
      </c>
      <c r="H39" s="6">
        <v>2.9166666666666668E-3</v>
      </c>
      <c r="I39" s="5"/>
      <c r="J39" s="10">
        <f t="shared" si="2"/>
        <v>2.9166666666666668E-3</v>
      </c>
    </row>
    <row r="40" spans="1:10" x14ac:dyDescent="0.35">
      <c r="A40" s="1">
        <v>44287</v>
      </c>
      <c r="B40" s="6">
        <v>-7.1369750205874279E-3</v>
      </c>
      <c r="C40" s="5"/>
      <c r="D40" s="9">
        <f t="shared" si="0"/>
        <v>-7.1369750205874279E-3</v>
      </c>
      <c r="E40" s="6">
        <v>3.6496350364963411E-2</v>
      </c>
      <c r="F40" s="5"/>
      <c r="G40" s="9">
        <f t="shared" si="1"/>
        <v>3.6496350364963411E-2</v>
      </c>
      <c r="H40" s="6">
        <v>2.9166666666666668E-3</v>
      </c>
      <c r="I40" s="5"/>
      <c r="J40" s="10">
        <f t="shared" si="2"/>
        <v>2.9166666666666668E-3</v>
      </c>
    </row>
    <row r="41" spans="1:10" x14ac:dyDescent="0.35">
      <c r="A41" s="1">
        <v>44317</v>
      </c>
      <c r="B41" s="6">
        <v>-1.0920652474426321E-2</v>
      </c>
      <c r="C41" s="5"/>
      <c r="D41" s="9">
        <f t="shared" si="0"/>
        <v>-1.0920652474426321E-2</v>
      </c>
      <c r="E41" s="6">
        <v>0.18309859154929578</v>
      </c>
      <c r="F41" s="5"/>
      <c r="G41" s="9">
        <f t="shared" si="1"/>
        <v>0.18309859154929578</v>
      </c>
      <c r="H41" s="6">
        <v>2.9166666666666668E-3</v>
      </c>
      <c r="I41" s="5"/>
      <c r="J41" s="10">
        <f t="shared" si="2"/>
        <v>2.9166666666666668E-3</v>
      </c>
    </row>
    <row r="42" spans="1:10" x14ac:dyDescent="0.35">
      <c r="A42" s="1">
        <v>44348</v>
      </c>
      <c r="B42" s="6">
        <v>1.29979035639413E-2</v>
      </c>
      <c r="C42" s="5"/>
      <c r="D42" s="9">
        <f t="shared" si="0"/>
        <v>1.29979035639413E-2</v>
      </c>
      <c r="E42" s="6">
        <v>-0.20833333333333323</v>
      </c>
      <c r="F42" s="5"/>
      <c r="G42" s="9">
        <f t="shared" si="1"/>
        <v>-0.20833333333333323</v>
      </c>
      <c r="H42" s="6">
        <v>2.9166666666666668E-3</v>
      </c>
      <c r="I42" s="5"/>
      <c r="J42" s="10">
        <f t="shared" si="2"/>
        <v>2.9166666666666668E-3</v>
      </c>
    </row>
    <row r="43" spans="1:10" x14ac:dyDescent="0.35">
      <c r="A43" s="1">
        <v>44378</v>
      </c>
      <c r="B43" s="6">
        <v>-3.4492273730684329E-4</v>
      </c>
      <c r="C43" s="5"/>
      <c r="D43" s="9">
        <f t="shared" si="0"/>
        <v>-3.4492273730684329E-4</v>
      </c>
      <c r="E43" s="6">
        <v>0.14285714285714277</v>
      </c>
      <c r="F43" s="5"/>
      <c r="G43" s="9">
        <f t="shared" si="1"/>
        <v>0.14285714285714277</v>
      </c>
      <c r="H43" s="6">
        <v>2.9166666666666668E-3</v>
      </c>
      <c r="I43" s="5"/>
      <c r="J43" s="10">
        <f t="shared" si="2"/>
        <v>2.9166666666666668E-3</v>
      </c>
    </row>
    <row r="44" spans="1:10" x14ac:dyDescent="0.35">
      <c r="A44" s="1">
        <v>44409</v>
      </c>
      <c r="B44" s="6">
        <v>-8.0739769512110961E-3</v>
      </c>
      <c r="C44" s="5"/>
      <c r="D44" s="9">
        <f t="shared" si="0"/>
        <v>-8.0739769512110961E-3</v>
      </c>
      <c r="E44" s="6">
        <v>4.6052631578947435E-2</v>
      </c>
      <c r="F44" s="5"/>
      <c r="G44" s="9">
        <f t="shared" si="1"/>
        <v>4.6052631578947435E-2</v>
      </c>
      <c r="H44" s="6">
        <v>2.9166666666666668E-3</v>
      </c>
      <c r="I44" s="5"/>
      <c r="J44" s="10">
        <f t="shared" si="2"/>
        <v>2.9166666666666668E-3</v>
      </c>
    </row>
    <row r="45" spans="1:10" x14ac:dyDescent="0.35">
      <c r="A45" s="1">
        <v>44440</v>
      </c>
      <c r="B45" s="6">
        <v>-4.6611938221789344E-3</v>
      </c>
      <c r="C45" s="5"/>
      <c r="D45" s="9">
        <f t="shared" si="0"/>
        <v>-4.6611938221789344E-3</v>
      </c>
      <c r="E45" s="6">
        <v>6.2893081761005902E-3</v>
      </c>
      <c r="F45" s="5"/>
      <c r="G45" s="9">
        <f t="shared" si="1"/>
        <v>6.2893081761005902E-3</v>
      </c>
      <c r="H45" s="6">
        <v>2.9166666666666668E-3</v>
      </c>
      <c r="I45" s="5"/>
      <c r="J45" s="10">
        <f t="shared" si="2"/>
        <v>2.9166666666666668E-3</v>
      </c>
    </row>
    <row r="46" spans="1:10" x14ac:dyDescent="0.35">
      <c r="A46" s="1">
        <v>44470</v>
      </c>
      <c r="B46" s="6">
        <v>-7.5487523589851122E-3</v>
      </c>
      <c r="C46" s="5"/>
      <c r="D46" s="9">
        <f t="shared" si="0"/>
        <v>-7.5487523589851122E-3</v>
      </c>
      <c r="E46" s="6">
        <v>3.7499999999999992E-2</v>
      </c>
      <c r="F46" s="5"/>
      <c r="G46" s="9">
        <f t="shared" si="1"/>
        <v>3.7499999999999992E-2</v>
      </c>
      <c r="H46" s="6">
        <v>2.9166666666666668E-3</v>
      </c>
      <c r="I46" s="5"/>
      <c r="J46" s="10">
        <f t="shared" si="2"/>
        <v>2.9166666666666668E-3</v>
      </c>
    </row>
    <row r="47" spans="1:10" x14ac:dyDescent="0.35">
      <c r="A47" s="1">
        <v>44501</v>
      </c>
      <c r="B47" s="6">
        <v>9.9302767800549339E-3</v>
      </c>
      <c r="C47" s="5"/>
      <c r="D47" s="9">
        <f t="shared" si="0"/>
        <v>9.9302767800549339E-3</v>
      </c>
      <c r="E47" s="6">
        <v>5.4216867469879609E-2</v>
      </c>
      <c r="F47" s="5"/>
      <c r="G47" s="9">
        <f t="shared" si="1"/>
        <v>5.4216867469879609E-2</v>
      </c>
      <c r="H47" s="6">
        <v>2.9166666666666668E-3</v>
      </c>
      <c r="I47" s="5"/>
      <c r="J47" s="10">
        <f t="shared" si="2"/>
        <v>2.9166666666666668E-3</v>
      </c>
    </row>
    <row r="48" spans="1:10" x14ac:dyDescent="0.35">
      <c r="A48" s="1">
        <v>44531</v>
      </c>
      <c r="B48" s="6">
        <v>-4.9511854951185498E-3</v>
      </c>
      <c r="C48" s="5"/>
      <c r="D48" s="9">
        <f t="shared" si="0"/>
        <v>-4.9511854951185498E-3</v>
      </c>
      <c r="E48" s="6">
        <v>6.8571428571428547E-2</v>
      </c>
      <c r="F48" s="5"/>
      <c r="G48" s="9">
        <f t="shared" si="1"/>
        <v>6.8571428571428547E-2</v>
      </c>
      <c r="H48" s="6">
        <v>2.9166666666666668E-3</v>
      </c>
      <c r="I48" s="5"/>
      <c r="J48" s="10">
        <f t="shared" si="2"/>
        <v>2.9166666666666668E-3</v>
      </c>
    </row>
    <row r="49" spans="1:10" x14ac:dyDescent="0.35">
      <c r="A49" s="1">
        <v>44562</v>
      </c>
      <c r="B49" s="6">
        <v>7.849183544747354E-3</v>
      </c>
      <c r="C49" s="5"/>
      <c r="D49" s="9">
        <f t="shared" si="0"/>
        <v>7.849183544747354E-3</v>
      </c>
      <c r="E49" s="6">
        <v>0.16577540106951863</v>
      </c>
      <c r="F49" s="5"/>
      <c r="G49" s="9">
        <f t="shared" si="1"/>
        <v>0.16577540106951863</v>
      </c>
      <c r="H49" s="6">
        <v>2.9166666666666668E-3</v>
      </c>
      <c r="I49" s="5"/>
      <c r="J49" s="10">
        <f t="shared" si="2"/>
        <v>2.9166666666666668E-3</v>
      </c>
    </row>
    <row r="50" spans="1:10" x14ac:dyDescent="0.35">
      <c r="A50" s="1">
        <v>44593</v>
      </c>
      <c r="B50" s="6">
        <v>-6.9536193588762946E-4</v>
      </c>
      <c r="C50" s="5"/>
      <c r="D50" s="9">
        <f t="shared" si="0"/>
        <v>-6.9536193588762946E-4</v>
      </c>
      <c r="E50" s="6">
        <v>-5.504587155963301E-2</v>
      </c>
      <c r="F50" s="5"/>
      <c r="G50" s="9">
        <f t="shared" si="1"/>
        <v>-5.504587155963301E-2</v>
      </c>
      <c r="H50" s="6">
        <v>2.9166666666666668E-3</v>
      </c>
      <c r="I50" s="5"/>
      <c r="J50" s="10">
        <f t="shared" si="2"/>
        <v>2.9166666666666668E-3</v>
      </c>
    </row>
    <row r="51" spans="1:10" x14ac:dyDescent="0.35">
      <c r="A51" s="1">
        <v>44621</v>
      </c>
      <c r="B51" s="6">
        <v>-1.5308607612553057E-3</v>
      </c>
      <c r="C51" s="5"/>
      <c r="D51" s="9">
        <f t="shared" si="0"/>
        <v>-1.5308607612553057E-3</v>
      </c>
      <c r="E51" s="6">
        <v>0.28155339805825241</v>
      </c>
      <c r="F51" s="5"/>
      <c r="G51" s="9">
        <f t="shared" si="1"/>
        <v>0.28155339805825241</v>
      </c>
      <c r="H51" s="6">
        <v>2.9166666666666668E-3</v>
      </c>
      <c r="I51" s="5"/>
      <c r="J51" s="10">
        <f t="shared" si="2"/>
        <v>2.9166666666666668E-3</v>
      </c>
    </row>
    <row r="52" spans="1:10" x14ac:dyDescent="0.35">
      <c r="A52" s="1">
        <v>44652</v>
      </c>
      <c r="B52" s="6">
        <v>4.8086974702069834E-3</v>
      </c>
      <c r="C52" s="5"/>
      <c r="D52" s="9">
        <f t="shared" si="0"/>
        <v>4.8086974702069834E-3</v>
      </c>
      <c r="E52" s="6">
        <v>0.31439393939393945</v>
      </c>
      <c r="F52" s="5"/>
      <c r="G52" s="9">
        <f t="shared" si="1"/>
        <v>0.31439393939393945</v>
      </c>
      <c r="H52" s="6">
        <v>2.9166666666666668E-3</v>
      </c>
      <c r="I52" s="5"/>
      <c r="J52" s="10">
        <f t="shared" si="2"/>
        <v>2.9166666666666668E-3</v>
      </c>
    </row>
    <row r="53" spans="1:10" x14ac:dyDescent="0.35">
      <c r="A53" s="1">
        <v>44682</v>
      </c>
      <c r="B53" s="6">
        <v>8.7390761548064924E-3</v>
      </c>
      <c r="C53" s="5"/>
      <c r="D53" s="9">
        <f t="shared" si="0"/>
        <v>8.7390761548064924E-3</v>
      </c>
      <c r="E53" s="6">
        <v>2.3054755043227525E-2</v>
      </c>
      <c r="F53" s="5"/>
      <c r="G53" s="9">
        <f t="shared" si="1"/>
        <v>2.3054755043227525E-2</v>
      </c>
      <c r="H53" s="6">
        <v>2.9166666666666668E-3</v>
      </c>
      <c r="I53" s="5"/>
      <c r="J53" s="10">
        <f t="shared" si="2"/>
        <v>2.9166666666666668E-3</v>
      </c>
    </row>
    <row r="54" spans="1:10" x14ac:dyDescent="0.35">
      <c r="A54" s="1">
        <v>44713</v>
      </c>
      <c r="B54" s="6">
        <v>2.0902090209020903E-2</v>
      </c>
      <c r="C54" s="5"/>
      <c r="D54" s="9">
        <f t="shared" si="0"/>
        <v>2.0902090209020903E-2</v>
      </c>
      <c r="E54" s="6">
        <v>0.22535211267605637</v>
      </c>
      <c r="F54" s="5"/>
      <c r="G54" s="9">
        <f t="shared" si="1"/>
        <v>0.22535211267605637</v>
      </c>
      <c r="H54" s="6">
        <v>2.9166666666666668E-3</v>
      </c>
      <c r="I54" s="5"/>
      <c r="J54" s="10">
        <f t="shared" si="2"/>
        <v>2.9166666666666668E-3</v>
      </c>
    </row>
    <row r="55" spans="1:10" x14ac:dyDescent="0.35">
      <c r="A55" s="1">
        <v>44743</v>
      </c>
      <c r="B55" s="6">
        <v>7.4084051724137932E-3</v>
      </c>
      <c r="C55" s="5"/>
      <c r="D55" s="9">
        <f t="shared" si="0"/>
        <v>7.4084051724137932E-3</v>
      </c>
      <c r="E55" s="6">
        <v>0.13563218390804621</v>
      </c>
      <c r="F55" s="5"/>
      <c r="G55" s="9">
        <f t="shared" si="1"/>
        <v>0.13563218390804621</v>
      </c>
      <c r="H55" s="6">
        <v>2.9166666666666668E-3</v>
      </c>
      <c r="I55" s="5"/>
      <c r="J55" s="10">
        <f t="shared" si="2"/>
        <v>2.9166666666666668E-3</v>
      </c>
    </row>
    <row r="56" spans="1:10" x14ac:dyDescent="0.35">
      <c r="A56" s="1">
        <v>44774</v>
      </c>
      <c r="B56" s="6">
        <v>-5.5488701698087981E-3</v>
      </c>
      <c r="C56" s="5"/>
      <c r="D56" s="9">
        <f t="shared" si="0"/>
        <v>-5.5488701698087981E-3</v>
      </c>
      <c r="E56" s="6">
        <v>-5.0607287449392753E-2</v>
      </c>
      <c r="F56" s="5"/>
      <c r="G56" s="9">
        <f t="shared" si="1"/>
        <v>-5.0607287449392753E-2</v>
      </c>
      <c r="H56" s="6">
        <v>3.1249999999999997E-3</v>
      </c>
      <c r="I56" s="5"/>
      <c r="J56" s="10">
        <f t="shared" si="2"/>
        <v>3.1249999999999997E-3</v>
      </c>
    </row>
    <row r="57" spans="1:10" x14ac:dyDescent="0.35">
      <c r="A57" s="1">
        <v>44805</v>
      </c>
      <c r="B57" s="6">
        <v>2.5008403361344536E-2</v>
      </c>
      <c r="C57" s="5"/>
      <c r="D57" s="9">
        <f t="shared" si="0"/>
        <v>2.5008403361344536E-2</v>
      </c>
      <c r="E57" s="6">
        <v>0.26865671641791045</v>
      </c>
      <c r="F57" s="5"/>
      <c r="G57" s="9">
        <f t="shared" si="1"/>
        <v>0.26865671641791045</v>
      </c>
      <c r="H57" s="6">
        <v>3.5416666666666669E-3</v>
      </c>
      <c r="I57" s="5"/>
      <c r="J57" s="10">
        <f t="shared" si="2"/>
        <v>3.5416666666666669E-3</v>
      </c>
    </row>
    <row r="58" spans="1:10" x14ac:dyDescent="0.35">
      <c r="A58" s="1">
        <v>44835</v>
      </c>
      <c r="B58" s="6">
        <v>1.934806847248639E-2</v>
      </c>
      <c r="C58" s="5"/>
      <c r="D58" s="9">
        <f t="shared" si="0"/>
        <v>1.934806847248639E-2</v>
      </c>
      <c r="E58" s="6">
        <v>-4.0336134453781612E-2</v>
      </c>
      <c r="F58" s="5"/>
      <c r="G58" s="9">
        <f t="shared" si="1"/>
        <v>-4.0336134453781612E-2</v>
      </c>
      <c r="H58" s="6">
        <v>3.9583333333333337E-3</v>
      </c>
      <c r="I58" s="5"/>
      <c r="J58" s="10">
        <f t="shared" si="2"/>
        <v>3.9583333333333337E-3</v>
      </c>
    </row>
    <row r="59" spans="1:10" x14ac:dyDescent="0.35">
      <c r="A59" s="1">
        <v>44866</v>
      </c>
      <c r="B59" s="6">
        <v>1.2546647793076824E-2</v>
      </c>
      <c r="C59" s="5"/>
      <c r="D59" s="9">
        <f t="shared" si="0"/>
        <v>1.2546647793076824E-2</v>
      </c>
      <c r="E59" s="6">
        <v>-5.0788091068301226E-2</v>
      </c>
      <c r="F59" s="5"/>
      <c r="G59" s="9">
        <f t="shared" si="1"/>
        <v>-5.0788091068301226E-2</v>
      </c>
      <c r="H59" s="6">
        <v>4.3749999999999995E-3</v>
      </c>
      <c r="I59" s="5"/>
      <c r="J59" s="10">
        <f t="shared" si="2"/>
        <v>4.3749999999999995E-3</v>
      </c>
    </row>
    <row r="60" spans="1:10" x14ac:dyDescent="0.35">
      <c r="A60" s="1">
        <v>44896</v>
      </c>
      <c r="B60" s="6">
        <v>-3.8126707758785028E-4</v>
      </c>
      <c r="C60" s="5"/>
      <c r="D60" s="9">
        <f t="shared" si="0"/>
        <v>-3.8126707758785028E-4</v>
      </c>
      <c r="E60" s="6">
        <v>1.6605166051660479E-2</v>
      </c>
      <c r="F60" s="5"/>
      <c r="G60" s="9">
        <f t="shared" si="1"/>
        <v>1.6605166051660479E-2</v>
      </c>
      <c r="H60" s="6">
        <v>4.5833333333333334E-3</v>
      </c>
      <c r="I60" s="5"/>
      <c r="J60" s="10">
        <f t="shared" si="2"/>
        <v>4.5833333333333334E-3</v>
      </c>
    </row>
    <row r="61" spans="1:10" x14ac:dyDescent="0.35">
      <c r="A61" s="1">
        <v>44927</v>
      </c>
      <c r="B61" s="6">
        <v>-4.780369970122688E-2</v>
      </c>
      <c r="C61" s="5"/>
      <c r="D61" s="9">
        <f t="shared" si="0"/>
        <v>-4.780369970122688E-2</v>
      </c>
      <c r="E61" s="6">
        <v>-4.1742286751361102E-2</v>
      </c>
      <c r="F61" s="5"/>
      <c r="G61" s="9">
        <f t="shared" si="1"/>
        <v>-4.1742286751361102E-2</v>
      </c>
      <c r="H61" s="6">
        <v>4.7916666666666672E-3</v>
      </c>
      <c r="I61" s="5"/>
      <c r="J61" s="10">
        <f t="shared" si="2"/>
        <v>4.7916666666666672E-3</v>
      </c>
    </row>
    <row r="62" spans="1:10" x14ac:dyDescent="0.35">
      <c r="A62" s="1">
        <v>44958</v>
      </c>
      <c r="B62" s="6">
        <v>1.9694238600707657E-2</v>
      </c>
      <c r="C62" s="5"/>
      <c r="D62" s="9">
        <f t="shared" si="0"/>
        <v>1.9694238600707657E-2</v>
      </c>
      <c r="E62" s="6">
        <v>3.5984848484848467E-2</v>
      </c>
      <c r="F62" s="5"/>
      <c r="G62" s="9">
        <f t="shared" si="1"/>
        <v>3.5984848484848467E-2</v>
      </c>
      <c r="H62" s="6">
        <v>4.7916666666666672E-3</v>
      </c>
      <c r="I62" s="5"/>
      <c r="J62" s="10">
        <f t="shared" si="2"/>
        <v>4.7916666666666672E-3</v>
      </c>
    </row>
    <row r="63" spans="1:10" x14ac:dyDescent="0.35">
      <c r="A63" s="1">
        <v>44986</v>
      </c>
      <c r="B63" s="6">
        <v>-1.3879795731308105E-2</v>
      </c>
      <c r="C63" s="5"/>
      <c r="D63" s="9">
        <f t="shared" si="0"/>
        <v>-1.3879795731308105E-2</v>
      </c>
      <c r="E63" s="6">
        <v>-9.1407678244972659E-2</v>
      </c>
      <c r="F63" s="5"/>
      <c r="G63" s="9">
        <f t="shared" si="1"/>
        <v>-9.1407678244972659E-2</v>
      </c>
      <c r="H63" s="6">
        <v>4.7916666666666672E-3</v>
      </c>
      <c r="I63" s="5"/>
      <c r="J63" s="10">
        <f t="shared" si="2"/>
        <v>4.7916666666666672E-3</v>
      </c>
    </row>
    <row r="64" spans="1:10" x14ac:dyDescent="0.35">
      <c r="A64" s="1">
        <v>45017</v>
      </c>
      <c r="B64" s="6">
        <v>-2.0647988314964814E-2</v>
      </c>
      <c r="C64" s="5"/>
      <c r="D64" s="9">
        <f t="shared" si="0"/>
        <v>-2.0647988314964814E-2</v>
      </c>
      <c r="E64" s="6">
        <v>-0.12877263581488926</v>
      </c>
      <c r="F64" s="5"/>
      <c r="G64" s="9">
        <f t="shared" si="1"/>
        <v>-0.12877263581488926</v>
      </c>
      <c r="H64" s="6">
        <v>4.7916666666666672E-3</v>
      </c>
      <c r="I64" s="5"/>
      <c r="J64" s="10">
        <f t="shared" si="2"/>
        <v>4.7916666666666672E-3</v>
      </c>
    </row>
    <row r="65" spans="1:10" x14ac:dyDescent="0.35">
      <c r="A65" s="1">
        <v>45047</v>
      </c>
      <c r="B65" s="6">
        <v>1.4778659073961087E-2</v>
      </c>
      <c r="C65" s="5"/>
      <c r="D65" s="9">
        <f t="shared" si="0"/>
        <v>1.4778659073961087E-2</v>
      </c>
      <c r="E65" s="6">
        <v>-7.6212471131639661E-2</v>
      </c>
      <c r="F65" s="5"/>
      <c r="G65" s="9">
        <f t="shared" si="1"/>
        <v>-7.6212471131639661E-2</v>
      </c>
      <c r="H65" s="6">
        <v>4.7916666666666672E-3</v>
      </c>
      <c r="I65" s="5"/>
      <c r="J65" s="10">
        <f t="shared" si="2"/>
        <v>4.7916666666666672E-3</v>
      </c>
    </row>
    <row r="66" spans="1:10" x14ac:dyDescent="0.35">
      <c r="A66" s="1">
        <v>45078</v>
      </c>
      <c r="B66" s="6">
        <v>3.8078695971674793E-3</v>
      </c>
      <c r="C66" s="5"/>
      <c r="D66" s="9">
        <f t="shared" si="0"/>
        <v>3.8078695971674793E-3</v>
      </c>
      <c r="E66" s="6">
        <v>-0.11999999999999997</v>
      </c>
      <c r="F66" s="5"/>
      <c r="G66" s="9">
        <f t="shared" si="1"/>
        <v>-0.11999999999999997</v>
      </c>
      <c r="H66" s="6">
        <v>4.7916666666666672E-3</v>
      </c>
      <c r="I66" s="5"/>
      <c r="J66" s="10">
        <f t="shared" si="2"/>
        <v>4.7916666666666672E-3</v>
      </c>
    </row>
    <row r="67" spans="1:10" x14ac:dyDescent="0.35">
      <c r="A67" s="1">
        <v>45108</v>
      </c>
      <c r="B67" s="6">
        <v>3.7934247304671903E-3</v>
      </c>
      <c r="C67" s="5"/>
      <c r="D67" s="9">
        <f t="shared" ref="D67:D80" si="3">B67-C67</f>
        <v>3.7934247304671903E-3</v>
      </c>
      <c r="E67" s="6">
        <v>-0.12500000000000003</v>
      </c>
      <c r="F67" s="5"/>
      <c r="G67" s="9">
        <f t="shared" ref="G67:G80" si="4">E67-F67</f>
        <v>-0.12500000000000003</v>
      </c>
      <c r="H67" s="6">
        <v>4.7916666666666672E-3</v>
      </c>
      <c r="I67" s="5"/>
      <c r="J67" s="10">
        <f t="shared" ref="J67:J80" si="5">H67-I67</f>
        <v>4.7916666666666672E-3</v>
      </c>
    </row>
    <row r="68" spans="1:10" x14ac:dyDescent="0.35">
      <c r="A68" s="1">
        <v>45139</v>
      </c>
      <c r="B68" s="6">
        <v>1.0342770005966983E-2</v>
      </c>
      <c r="C68" s="5"/>
      <c r="D68" s="9">
        <f t="shared" si="3"/>
        <v>1.0342770005966983E-2</v>
      </c>
      <c r="E68" s="6">
        <v>6.1688311688311653E-2</v>
      </c>
      <c r="F68" s="5"/>
      <c r="G68" s="9">
        <f t="shared" si="4"/>
        <v>6.1688311688311653E-2</v>
      </c>
      <c r="H68" s="6">
        <v>4.7916666666666672E-3</v>
      </c>
      <c r="I68" s="5"/>
      <c r="J68" s="10">
        <f t="shared" si="5"/>
        <v>4.7916666666666672E-3</v>
      </c>
    </row>
    <row r="69" spans="1:10" x14ac:dyDescent="0.35">
      <c r="A69" s="1">
        <v>45170</v>
      </c>
      <c r="B69" s="6">
        <v>1.8833256775378962E-2</v>
      </c>
      <c r="C69" s="5"/>
      <c r="D69" s="9">
        <f t="shared" si="3"/>
        <v>1.8833256775378962E-2</v>
      </c>
      <c r="E69" s="6">
        <v>-0.30275229357798172</v>
      </c>
      <c r="F69" s="5"/>
      <c r="G69" s="9">
        <f t="shared" si="4"/>
        <v>-0.30275229357798172</v>
      </c>
      <c r="H69" s="6">
        <v>4.7916666666666672E-3</v>
      </c>
      <c r="I69" s="5"/>
      <c r="J69" s="10">
        <f t="shared" si="5"/>
        <v>4.7916666666666672E-3</v>
      </c>
    </row>
    <row r="70" spans="1:10" x14ac:dyDescent="0.35">
      <c r="A70" s="1">
        <v>45200</v>
      </c>
      <c r="B70" s="6">
        <v>2.5119154965863713E-2</v>
      </c>
      <c r="C70" s="5"/>
      <c r="D70" s="9">
        <f t="shared" si="3"/>
        <v>2.5119154965863713E-2</v>
      </c>
      <c r="E70" s="6">
        <v>0.12280701754385984</v>
      </c>
      <c r="F70" s="5"/>
      <c r="G70" s="9">
        <f t="shared" si="4"/>
        <v>0.12280701754385984</v>
      </c>
      <c r="H70" s="6">
        <v>5.0000000000000001E-3</v>
      </c>
      <c r="I70" s="5"/>
      <c r="J70" s="10">
        <f t="shared" si="5"/>
        <v>5.0000000000000001E-3</v>
      </c>
    </row>
    <row r="71" spans="1:10" x14ac:dyDescent="0.35">
      <c r="A71" s="1">
        <v>45231</v>
      </c>
      <c r="B71" s="6">
        <v>-5.441065594370445E-2</v>
      </c>
      <c r="C71" s="5"/>
      <c r="D71" s="9">
        <f t="shared" si="3"/>
        <v>-5.441065594370445E-2</v>
      </c>
      <c r="E71" s="6">
        <v>0.11718749999999996</v>
      </c>
      <c r="F71" s="5"/>
      <c r="G71" s="9">
        <f t="shared" si="4"/>
        <v>0.11718749999999996</v>
      </c>
      <c r="H71" s="6">
        <v>5.0000000000000001E-3</v>
      </c>
      <c r="I71" s="5"/>
      <c r="J71" s="10">
        <f t="shared" si="5"/>
        <v>5.0000000000000001E-3</v>
      </c>
    </row>
    <row r="72" spans="1:10" x14ac:dyDescent="0.35">
      <c r="A72" s="1">
        <v>45261</v>
      </c>
      <c r="B72" s="6">
        <v>2.2923588039867111E-2</v>
      </c>
      <c r="C72" s="5"/>
      <c r="D72" s="9">
        <f t="shared" si="3"/>
        <v>2.2923588039867111E-2</v>
      </c>
      <c r="E72" s="6">
        <v>-8.7412587412587492E-2</v>
      </c>
      <c r="F72" s="5"/>
      <c r="G72" s="9">
        <f t="shared" si="4"/>
        <v>-8.7412587412587492E-2</v>
      </c>
      <c r="H72" s="6">
        <v>5.0000000000000001E-3</v>
      </c>
      <c r="I72" s="5"/>
      <c r="J72" s="10">
        <f t="shared" si="5"/>
        <v>5.0000000000000001E-3</v>
      </c>
    </row>
    <row r="73" spans="1:10" ht="16" x14ac:dyDescent="0.35">
      <c r="A73" s="1">
        <v>45292</v>
      </c>
      <c r="B73" s="15">
        <v>2.4683338746346217E-2</v>
      </c>
      <c r="C73" s="14"/>
      <c r="D73" s="9">
        <f t="shared" si="3"/>
        <v>2.4683338746346217E-2</v>
      </c>
      <c r="E73" s="15">
        <v>-1.53256704980842E-2</v>
      </c>
      <c r="F73" s="14"/>
      <c r="G73" s="9">
        <f t="shared" si="4"/>
        <v>-1.53256704980842E-2</v>
      </c>
      <c r="H73" s="15">
        <v>5.0000000000000001E-3</v>
      </c>
      <c r="I73" s="14"/>
      <c r="J73" s="10">
        <f t="shared" si="5"/>
        <v>5.0000000000000001E-3</v>
      </c>
    </row>
    <row r="74" spans="1:10" x14ac:dyDescent="0.35">
      <c r="A74" s="1">
        <v>45323</v>
      </c>
      <c r="B74" s="15">
        <v>2.4683338746346217E-2</v>
      </c>
      <c r="C74" s="13"/>
      <c r="D74" s="9">
        <f t="shared" si="3"/>
        <v>2.4683338746346217E-2</v>
      </c>
      <c r="E74" s="15">
        <v>-1.53256704980842E-2</v>
      </c>
      <c r="F74" s="13"/>
      <c r="G74" s="9">
        <f t="shared" si="4"/>
        <v>-1.53256704980842E-2</v>
      </c>
      <c r="H74" s="15">
        <v>5.0000000000000001E-3</v>
      </c>
      <c r="I74" s="13"/>
      <c r="J74" s="10">
        <f t="shared" si="5"/>
        <v>5.0000000000000001E-3</v>
      </c>
    </row>
    <row r="75" spans="1:10" x14ac:dyDescent="0.35">
      <c r="A75" s="1">
        <v>45352</v>
      </c>
      <c r="B75" s="15">
        <v>-4.1204437400950873E-3</v>
      </c>
      <c r="C75" s="13"/>
      <c r="D75" s="9">
        <f t="shared" si="3"/>
        <v>-4.1204437400950873E-3</v>
      </c>
      <c r="E75" s="15">
        <v>7.0038910505836549E-2</v>
      </c>
      <c r="F75" s="13"/>
      <c r="G75" s="9">
        <f t="shared" si="4"/>
        <v>7.0038910505836549E-2</v>
      </c>
      <c r="H75" s="15">
        <v>5.0000000000000001E-3</v>
      </c>
      <c r="I75" s="13"/>
      <c r="J75" s="10">
        <f t="shared" si="5"/>
        <v>5.0000000000000001E-3</v>
      </c>
    </row>
    <row r="76" spans="1:10" x14ac:dyDescent="0.35">
      <c r="A76" s="1">
        <v>45383</v>
      </c>
      <c r="B76" s="15">
        <v>8.9115213239974542E-3</v>
      </c>
      <c r="C76" s="13"/>
      <c r="D76" s="9">
        <f t="shared" si="3"/>
        <v>8.9115213239974542E-3</v>
      </c>
      <c r="E76" s="15">
        <v>0.10909090909090906</v>
      </c>
      <c r="F76" s="13"/>
      <c r="G76" s="9">
        <f t="shared" si="4"/>
        <v>0.10909090909090906</v>
      </c>
      <c r="H76" s="15">
        <v>5.0000000000000001E-3</v>
      </c>
      <c r="I76" s="13"/>
      <c r="J76" s="10">
        <f t="shared" si="5"/>
        <v>5.0000000000000001E-3</v>
      </c>
    </row>
    <row r="77" spans="1:10" x14ac:dyDescent="0.35">
      <c r="A77" s="1">
        <v>45413</v>
      </c>
      <c r="B77" s="15">
        <v>2.5552050473186119E-2</v>
      </c>
      <c r="C77" s="13"/>
      <c r="D77" s="9">
        <f t="shared" si="3"/>
        <v>2.5552050473186119E-2</v>
      </c>
      <c r="E77" s="15">
        <v>-1.6393442622950834E-2</v>
      </c>
      <c r="F77" s="13"/>
      <c r="G77" s="9">
        <f t="shared" si="4"/>
        <v>-1.6393442622950834E-2</v>
      </c>
      <c r="H77" s="15">
        <v>5.208333333333333E-3</v>
      </c>
      <c r="I77" s="13"/>
      <c r="J77" s="10">
        <f t="shared" si="5"/>
        <v>5.208333333333333E-3</v>
      </c>
    </row>
    <row r="78" spans="1:10" x14ac:dyDescent="0.35">
      <c r="A78" s="1">
        <v>45444</v>
      </c>
      <c r="B78" s="15">
        <v>-6.1519532451553372E-4</v>
      </c>
      <c r="C78" s="13"/>
      <c r="D78" s="9">
        <f t="shared" si="3"/>
        <v>-6.1519532451553372E-4</v>
      </c>
      <c r="E78" s="15">
        <v>-5.3333333333333247E-2</v>
      </c>
      <c r="F78" s="13"/>
      <c r="G78" s="9">
        <f t="shared" si="4"/>
        <v>-5.3333333333333247E-2</v>
      </c>
      <c r="H78" s="15">
        <v>5.208333333333333E-3</v>
      </c>
      <c r="I78" s="13"/>
      <c r="J78" s="10">
        <f t="shared" si="5"/>
        <v>5.208333333333333E-3</v>
      </c>
    </row>
    <row r="79" spans="1:10" x14ac:dyDescent="0.35">
      <c r="A79" s="1">
        <v>45474</v>
      </c>
      <c r="B79" s="15">
        <v>6.4635272391505077E-3</v>
      </c>
      <c r="C79" s="13"/>
      <c r="D79" s="9">
        <f t="shared" si="3"/>
        <v>6.4635272391505077E-3</v>
      </c>
      <c r="E79" s="15">
        <v>-0.11619718309859157</v>
      </c>
      <c r="F79" s="13"/>
      <c r="G79" s="9">
        <f t="shared" si="4"/>
        <v>-0.11619718309859157</v>
      </c>
      <c r="H79" s="15">
        <v>5.208333333333333E-3</v>
      </c>
      <c r="I79" s="13"/>
      <c r="J79" s="10">
        <f t="shared" si="5"/>
        <v>5.208333333333333E-3</v>
      </c>
    </row>
    <row r="80" spans="1:10" x14ac:dyDescent="0.35">
      <c r="A80" s="1">
        <v>45505</v>
      </c>
      <c r="B80" s="15">
        <v>-5.8103975535168193E-3</v>
      </c>
      <c r="C80" s="13"/>
      <c r="D80" s="9">
        <f t="shared" si="3"/>
        <v>-5.8103975535168193E-3</v>
      </c>
      <c r="E80">
        <v>-0.15139442231075703</v>
      </c>
      <c r="G80" s="9">
        <f t="shared" si="4"/>
        <v>-0.15139442231075703</v>
      </c>
      <c r="H80">
        <v>5.208333333333333E-3</v>
      </c>
      <c r="J80" s="10">
        <f t="shared" si="5"/>
        <v>5.208333333333333E-3</v>
      </c>
    </row>
  </sheetData>
  <mergeCells count="1">
    <mergeCell ref="L3:O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60392-7587-4789-8574-BA4E35D159C8}">
  <dimension ref="A1:C80"/>
  <sheetViews>
    <sheetView workbookViewId="0">
      <selection activeCell="E6" sqref="E6"/>
    </sheetView>
  </sheetViews>
  <sheetFormatPr defaultRowHeight="15.5" x14ac:dyDescent="0.35"/>
  <sheetData>
    <row r="1" spans="1:3" x14ac:dyDescent="0.35">
      <c r="A1" s="2" t="s">
        <v>6</v>
      </c>
      <c r="B1" s="2" t="s">
        <v>7</v>
      </c>
      <c r="C1" s="2" t="s">
        <v>8</v>
      </c>
    </row>
    <row r="2" spans="1:3" x14ac:dyDescent="0.35">
      <c r="A2" s="6">
        <v>2.1919033773205098E-2</v>
      </c>
      <c r="B2" s="6">
        <v>-2.1538461538461513E-2</v>
      </c>
      <c r="C2" s="12">
        <v>3.5416666666666669E-3</v>
      </c>
    </row>
    <row r="3" spans="1:3" x14ac:dyDescent="0.35">
      <c r="A3" s="6">
        <v>3.5748157875538046E-3</v>
      </c>
      <c r="B3" s="6">
        <v>6.9182389937106931E-2</v>
      </c>
      <c r="C3" s="12">
        <v>3.5416666666666669E-3</v>
      </c>
    </row>
    <row r="4" spans="1:3" x14ac:dyDescent="0.35">
      <c r="A4" s="6">
        <v>8.7961616749054963E-3</v>
      </c>
      <c r="B4" s="6">
        <v>2.9411764705881151E-3</v>
      </c>
      <c r="C4" s="12">
        <v>3.5416666666666669E-3</v>
      </c>
    </row>
    <row r="5" spans="1:3" x14ac:dyDescent="0.35">
      <c r="A5" s="6">
        <v>5.3325646753621097E-3</v>
      </c>
      <c r="B5" s="6">
        <v>-5.2785923753665573E-2</v>
      </c>
      <c r="C5" s="12">
        <v>3.9583333333333337E-3</v>
      </c>
    </row>
    <row r="6" spans="1:3" x14ac:dyDescent="0.35">
      <c r="A6" s="6">
        <v>3.2470790624328005E-2</v>
      </c>
      <c r="B6" s="6">
        <v>-3.4055727554179571E-2</v>
      </c>
      <c r="C6" s="12">
        <v>4.3749999999999995E-3</v>
      </c>
    </row>
    <row r="7" spans="1:3" x14ac:dyDescent="0.35">
      <c r="A7" s="6">
        <v>6.248264371008053E-4</v>
      </c>
      <c r="B7" s="6">
        <v>1.9230769230769225E-2</v>
      </c>
      <c r="C7" s="12">
        <v>4.3749999999999995E-3</v>
      </c>
    </row>
    <row r="8" spans="1:3" x14ac:dyDescent="0.35">
      <c r="A8" s="6">
        <v>2.0675778810795808E-2</v>
      </c>
      <c r="B8" s="6">
        <v>6.2893081761005902E-3</v>
      </c>
      <c r="C8" s="12">
        <v>4.5833333333333334E-3</v>
      </c>
    </row>
    <row r="9" spans="1:3" x14ac:dyDescent="0.35">
      <c r="A9" s="6">
        <v>1.4818843042621169E-2</v>
      </c>
      <c r="B9" s="6">
        <v>-0.10000000000000005</v>
      </c>
      <c r="C9" s="12">
        <v>4.7916666666666672E-3</v>
      </c>
    </row>
    <row r="10" spans="1:3" x14ac:dyDescent="0.35">
      <c r="A10" s="6">
        <v>1.9961149440685912E-2</v>
      </c>
      <c r="B10" s="6">
        <v>9.7222222222222363E-2</v>
      </c>
      <c r="C10" s="12">
        <v>4.7916666666666672E-3</v>
      </c>
    </row>
    <row r="11" spans="1:3" x14ac:dyDescent="0.35">
      <c r="A11" s="6">
        <v>-5.8317462402311684E-2</v>
      </c>
      <c r="B11" s="6">
        <v>2.2151898734177188E-2</v>
      </c>
      <c r="C11" s="12">
        <v>5.0000000000000001E-3</v>
      </c>
    </row>
    <row r="12" spans="1:3" x14ac:dyDescent="0.35">
      <c r="A12" s="6">
        <v>9.9030615803054611E-3</v>
      </c>
      <c r="B12" s="6">
        <v>-3.0959752321981449E-2</v>
      </c>
      <c r="C12" s="12">
        <v>5.0000000000000001E-3</v>
      </c>
    </row>
    <row r="13" spans="1:3" x14ac:dyDescent="0.35">
      <c r="A13" s="6">
        <v>-2.8243905807609972E-2</v>
      </c>
      <c r="B13" s="6">
        <v>-9.9041533546325944E-2</v>
      </c>
      <c r="C13" s="12">
        <v>5.0000000000000001E-3</v>
      </c>
    </row>
    <row r="14" spans="1:3" x14ac:dyDescent="0.35">
      <c r="A14" s="6">
        <v>-7.1063104036384311E-4</v>
      </c>
      <c r="B14" s="6">
        <v>-8.8652482269503632E-2</v>
      </c>
      <c r="C14" s="12">
        <v>5.0000000000000001E-3</v>
      </c>
    </row>
    <row r="15" spans="1:3" x14ac:dyDescent="0.35">
      <c r="A15" s="6">
        <v>1.2942682406485564E-2</v>
      </c>
      <c r="B15" s="6">
        <v>-3.5019455252918212E-2</v>
      </c>
      <c r="C15" s="12">
        <v>5.0000000000000001E-3</v>
      </c>
    </row>
    <row r="16" spans="1:3" x14ac:dyDescent="0.35">
      <c r="A16" s="6">
        <v>-2.0359449592811008E-3</v>
      </c>
      <c r="B16" s="6">
        <v>0.14112903225806464</v>
      </c>
      <c r="C16" s="12">
        <v>5.0000000000000001E-3</v>
      </c>
    </row>
    <row r="17" spans="1:3" x14ac:dyDescent="0.35">
      <c r="A17" s="6">
        <v>1.1959198030249736E-2</v>
      </c>
      <c r="B17" s="6">
        <v>0.17314487632508826</v>
      </c>
      <c r="C17" s="12">
        <v>5.0000000000000001E-3</v>
      </c>
    </row>
    <row r="18" spans="1:3" x14ac:dyDescent="0.35">
      <c r="A18" s="6">
        <v>-1.6962113312478277E-2</v>
      </c>
      <c r="B18" s="6">
        <v>-1.2048192771084473E-2</v>
      </c>
      <c r="C18" s="12">
        <v>5.0000000000000001E-3</v>
      </c>
    </row>
    <row r="19" spans="1:3" x14ac:dyDescent="0.35">
      <c r="A19" s="6">
        <v>-8.1323810197298629E-3</v>
      </c>
      <c r="B19" s="6">
        <v>1.2195121951219651E-2</v>
      </c>
      <c r="C19" s="12">
        <v>4.7916666666666672E-3</v>
      </c>
    </row>
    <row r="20" spans="1:3" x14ac:dyDescent="0.35">
      <c r="A20" s="6">
        <v>1.5043490660202481E-2</v>
      </c>
      <c r="B20" s="6">
        <v>5.1204819277108439E-2</v>
      </c>
      <c r="C20" s="12">
        <v>4.5833333333333334E-3</v>
      </c>
    </row>
    <row r="21" spans="1:3" x14ac:dyDescent="0.35">
      <c r="A21" s="6">
        <v>-4.4250895553838588E-3</v>
      </c>
      <c r="B21" s="6">
        <v>-2.8653295128939854E-2</v>
      </c>
      <c r="C21" s="12">
        <v>4.3749999999999995E-3</v>
      </c>
    </row>
    <row r="22" spans="1:3" x14ac:dyDescent="0.35">
      <c r="A22" s="6">
        <v>-1.1711584591505574E-2</v>
      </c>
      <c r="B22" s="6">
        <v>-7.6696165191740356E-2</v>
      </c>
      <c r="C22" s="12">
        <v>4.1666666666666666E-3</v>
      </c>
    </row>
    <row r="23" spans="1:3" x14ac:dyDescent="0.35">
      <c r="A23" s="6">
        <v>6.7104511707595663E-3</v>
      </c>
      <c r="B23" s="6">
        <v>-4.1533546325878676E-2</v>
      </c>
      <c r="C23" s="12">
        <v>4.1666666666666666E-3</v>
      </c>
    </row>
    <row r="24" spans="1:3" x14ac:dyDescent="0.35">
      <c r="A24" s="6">
        <v>-1.4253297404623458E-2</v>
      </c>
      <c r="B24" s="6">
        <v>-9.333333333333324E-2</v>
      </c>
      <c r="C24" s="12">
        <v>4.1666666666666666E-3</v>
      </c>
    </row>
    <row r="25" spans="1:3" x14ac:dyDescent="0.35">
      <c r="A25" s="6">
        <v>-1.7193007697287963E-2</v>
      </c>
      <c r="B25" s="6">
        <v>-1.4705882352941214E-2</v>
      </c>
      <c r="C25" s="12">
        <v>4.1666666666666666E-3</v>
      </c>
    </row>
    <row r="26" spans="1:3" x14ac:dyDescent="0.35">
      <c r="A26" s="6">
        <v>4.1867954911433171E-2</v>
      </c>
      <c r="B26" s="6">
        <v>0.11194029850746265</v>
      </c>
      <c r="C26" s="12">
        <v>3.9583333333333337E-3</v>
      </c>
    </row>
    <row r="27" spans="1:3" x14ac:dyDescent="0.35">
      <c r="A27" s="6">
        <v>0.14985246592665449</v>
      </c>
      <c r="B27" s="6">
        <v>-6.7114093959731135E-3</v>
      </c>
      <c r="C27" s="12">
        <v>3.7499999999999999E-3</v>
      </c>
    </row>
    <row r="28" spans="1:3" x14ac:dyDescent="0.35">
      <c r="A28" s="6">
        <v>-7.3929247876825324E-2</v>
      </c>
      <c r="B28" s="6">
        <v>-9.7972972972973082E-2</v>
      </c>
      <c r="C28" s="12">
        <v>3.7499999999999999E-3</v>
      </c>
    </row>
    <row r="29" spans="1:3" x14ac:dyDescent="0.35">
      <c r="A29" s="6">
        <v>-2.7973873457808274E-2</v>
      </c>
      <c r="B29" s="6">
        <v>-0.17977528089887637</v>
      </c>
      <c r="C29" s="12">
        <v>3.7499999999999999E-3</v>
      </c>
    </row>
    <row r="30" spans="1:3" x14ac:dyDescent="0.35">
      <c r="A30" s="6">
        <v>-2.9254055521618135E-2</v>
      </c>
      <c r="B30" s="6">
        <v>-0.10502283105022832</v>
      </c>
      <c r="C30" s="12">
        <v>3.5416666666666669E-3</v>
      </c>
    </row>
    <row r="31" spans="1:3" x14ac:dyDescent="0.35">
      <c r="A31" s="6">
        <v>2.4542022094811915E-2</v>
      </c>
      <c r="B31" s="6">
        <v>-0.21428571428571425</v>
      </c>
      <c r="C31" s="12">
        <v>3.3333333333333335E-3</v>
      </c>
    </row>
    <row r="32" spans="1:3" x14ac:dyDescent="0.35">
      <c r="A32" s="6">
        <v>-6.7562956391182694E-3</v>
      </c>
      <c r="B32" s="6">
        <v>-0.14285714285714288</v>
      </c>
      <c r="C32" s="12">
        <v>3.3333333333333335E-3</v>
      </c>
    </row>
    <row r="33" spans="1:3" x14ac:dyDescent="0.35">
      <c r="A33" s="6">
        <v>2.5010306444963583E-2</v>
      </c>
      <c r="B33" s="6">
        <v>7.575757575757569E-2</v>
      </c>
      <c r="C33" s="12">
        <v>3.3333333333333335E-3</v>
      </c>
    </row>
    <row r="34" spans="1:3" x14ac:dyDescent="0.35">
      <c r="A34" s="6">
        <v>-1.5283550073736427E-2</v>
      </c>
      <c r="B34" s="6">
        <v>1.408450704225356E-2</v>
      </c>
      <c r="C34" s="12">
        <v>3.3333333333333335E-3</v>
      </c>
    </row>
    <row r="35" spans="1:3" x14ac:dyDescent="0.35">
      <c r="A35" s="6">
        <v>-3.82573179033356E-2</v>
      </c>
      <c r="B35" s="6">
        <v>0.10416666666666677</v>
      </c>
      <c r="C35" s="12">
        <v>3.1249999999999997E-3</v>
      </c>
    </row>
    <row r="36" spans="1:3" x14ac:dyDescent="0.35">
      <c r="A36" s="6">
        <v>-1.6279728199320499E-3</v>
      </c>
      <c r="B36" s="6">
        <v>5.660377358490553E-2</v>
      </c>
      <c r="C36" s="12">
        <v>3.1249999999999997E-3</v>
      </c>
    </row>
    <row r="37" spans="1:3" x14ac:dyDescent="0.35">
      <c r="A37" s="6">
        <v>-1.488833746898263E-3</v>
      </c>
      <c r="B37" s="6">
        <v>-7.7380952380952328E-2</v>
      </c>
      <c r="C37" s="12">
        <v>3.1249999999999997E-3</v>
      </c>
    </row>
    <row r="38" spans="1:3" x14ac:dyDescent="0.35">
      <c r="A38" s="6">
        <v>1.02953706333428E-2</v>
      </c>
      <c r="B38" s="6">
        <v>-0.10967741935483871</v>
      </c>
      <c r="C38" s="12">
        <v>2.9166666666666668E-3</v>
      </c>
    </row>
    <row r="39" spans="1:3" x14ac:dyDescent="0.35">
      <c r="A39" s="6">
        <v>2.4105699627521258E-2</v>
      </c>
      <c r="B39" s="6">
        <v>-7.2463768115941588E-3</v>
      </c>
      <c r="C39" s="12">
        <v>2.9166666666666668E-3</v>
      </c>
    </row>
    <row r="40" spans="1:3" x14ac:dyDescent="0.35">
      <c r="A40" s="6">
        <v>-7.1369750205874279E-3</v>
      </c>
      <c r="B40" s="6">
        <v>3.6496350364963411E-2</v>
      </c>
      <c r="C40" s="12">
        <v>2.9166666666666668E-3</v>
      </c>
    </row>
    <row r="41" spans="1:3" x14ac:dyDescent="0.35">
      <c r="A41" s="6">
        <v>-1.0920652474426321E-2</v>
      </c>
      <c r="B41" s="6">
        <v>0.18309859154929578</v>
      </c>
      <c r="C41" s="12">
        <v>2.9166666666666668E-3</v>
      </c>
    </row>
    <row r="42" spans="1:3" x14ac:dyDescent="0.35">
      <c r="A42" s="6">
        <v>1.29979035639413E-2</v>
      </c>
      <c r="B42" s="6">
        <v>-0.20833333333333323</v>
      </c>
      <c r="C42" s="12">
        <v>2.9166666666666668E-3</v>
      </c>
    </row>
    <row r="43" spans="1:3" x14ac:dyDescent="0.35">
      <c r="A43" s="6">
        <v>-3.4492273730684329E-4</v>
      </c>
      <c r="B43" s="6">
        <v>0.14285714285714277</v>
      </c>
      <c r="C43" s="12">
        <v>2.9166666666666668E-3</v>
      </c>
    </row>
    <row r="44" spans="1:3" x14ac:dyDescent="0.35">
      <c r="A44" s="6">
        <v>-8.0739769512110961E-3</v>
      </c>
      <c r="B44" s="6">
        <v>4.6052631578947435E-2</v>
      </c>
      <c r="C44" s="12">
        <v>2.9166666666666668E-3</v>
      </c>
    </row>
    <row r="45" spans="1:3" x14ac:dyDescent="0.35">
      <c r="A45" s="6">
        <v>-4.6611938221789344E-3</v>
      </c>
      <c r="B45" s="6">
        <v>6.2893081761005902E-3</v>
      </c>
      <c r="C45" s="12">
        <v>2.9166666666666668E-3</v>
      </c>
    </row>
    <row r="46" spans="1:3" x14ac:dyDescent="0.35">
      <c r="A46" s="6">
        <v>-7.5487523589851122E-3</v>
      </c>
      <c r="B46" s="6">
        <v>3.7499999999999992E-2</v>
      </c>
      <c r="C46" s="12">
        <v>2.9166666666666668E-3</v>
      </c>
    </row>
    <row r="47" spans="1:3" x14ac:dyDescent="0.35">
      <c r="A47" s="6">
        <v>9.9302767800549339E-3</v>
      </c>
      <c r="B47" s="6">
        <v>5.4216867469879609E-2</v>
      </c>
      <c r="C47" s="12">
        <v>2.9166666666666668E-3</v>
      </c>
    </row>
    <row r="48" spans="1:3" x14ac:dyDescent="0.35">
      <c r="A48" s="6">
        <v>-4.9511854951185498E-3</v>
      </c>
      <c r="B48" s="6">
        <v>6.8571428571428547E-2</v>
      </c>
      <c r="C48" s="12">
        <v>2.9166666666666668E-3</v>
      </c>
    </row>
    <row r="49" spans="1:3" x14ac:dyDescent="0.35">
      <c r="A49" s="6">
        <v>7.849183544747354E-3</v>
      </c>
      <c r="B49" s="6">
        <v>0.16577540106951863</v>
      </c>
      <c r="C49" s="12">
        <v>2.9166666666666668E-3</v>
      </c>
    </row>
    <row r="50" spans="1:3" x14ac:dyDescent="0.35">
      <c r="A50" s="6">
        <v>-6.9536193588762946E-4</v>
      </c>
      <c r="B50" s="6">
        <v>-5.504587155963301E-2</v>
      </c>
      <c r="C50" s="12">
        <v>2.9166666666666668E-3</v>
      </c>
    </row>
    <row r="51" spans="1:3" x14ac:dyDescent="0.35">
      <c r="A51" s="6">
        <v>-1.5308607612553057E-3</v>
      </c>
      <c r="B51" s="6">
        <v>0.28155339805825241</v>
      </c>
      <c r="C51" s="12">
        <v>2.9166666666666668E-3</v>
      </c>
    </row>
    <row r="52" spans="1:3" x14ac:dyDescent="0.35">
      <c r="A52" s="6">
        <v>4.8086974702069834E-3</v>
      </c>
      <c r="B52" s="6">
        <v>0.31439393939393945</v>
      </c>
      <c r="C52" s="12">
        <v>2.9166666666666668E-3</v>
      </c>
    </row>
    <row r="53" spans="1:3" x14ac:dyDescent="0.35">
      <c r="A53" s="6">
        <v>8.7390761548064924E-3</v>
      </c>
      <c r="B53" s="6">
        <v>2.3054755043227525E-2</v>
      </c>
      <c r="C53" s="12">
        <v>2.9166666666666668E-3</v>
      </c>
    </row>
    <row r="54" spans="1:3" x14ac:dyDescent="0.35">
      <c r="A54" s="6">
        <v>2.0902090209020903E-2</v>
      </c>
      <c r="B54" s="6">
        <v>0.22535211267605637</v>
      </c>
      <c r="C54" s="12">
        <v>2.9166666666666668E-3</v>
      </c>
    </row>
    <row r="55" spans="1:3" x14ac:dyDescent="0.35">
      <c r="A55" s="6">
        <v>7.4084051724137932E-3</v>
      </c>
      <c r="B55" s="6">
        <v>0.13563218390804621</v>
      </c>
      <c r="C55" s="12">
        <v>2.9166666666666668E-3</v>
      </c>
    </row>
    <row r="56" spans="1:3" x14ac:dyDescent="0.35">
      <c r="A56" s="6">
        <v>-5.5488701698087981E-3</v>
      </c>
      <c r="B56" s="6">
        <v>-5.0607287449392753E-2</v>
      </c>
      <c r="C56" s="12">
        <v>3.1249999999999997E-3</v>
      </c>
    </row>
    <row r="57" spans="1:3" x14ac:dyDescent="0.35">
      <c r="A57" s="6">
        <v>2.5008403361344536E-2</v>
      </c>
      <c r="B57" s="6">
        <v>0.26865671641791045</v>
      </c>
      <c r="C57" s="12">
        <v>3.5416666666666669E-3</v>
      </c>
    </row>
    <row r="58" spans="1:3" x14ac:dyDescent="0.35">
      <c r="A58" s="6">
        <v>1.934806847248639E-2</v>
      </c>
      <c r="B58" s="6">
        <v>-4.0336134453781612E-2</v>
      </c>
      <c r="C58" s="12">
        <v>3.9583333333333337E-3</v>
      </c>
    </row>
    <row r="59" spans="1:3" x14ac:dyDescent="0.35">
      <c r="A59" s="6">
        <v>1.2546647793076824E-2</v>
      </c>
      <c r="B59" s="6">
        <v>-5.0788091068301226E-2</v>
      </c>
      <c r="C59" s="12">
        <v>4.3749999999999995E-3</v>
      </c>
    </row>
    <row r="60" spans="1:3" x14ac:dyDescent="0.35">
      <c r="A60" s="6">
        <v>-3.8126707758785028E-4</v>
      </c>
      <c r="B60" s="6">
        <v>1.6605166051660479E-2</v>
      </c>
      <c r="C60" s="12">
        <v>4.5833333333333334E-3</v>
      </c>
    </row>
    <row r="61" spans="1:3" x14ac:dyDescent="0.35">
      <c r="A61" s="6">
        <v>-4.780369970122688E-2</v>
      </c>
      <c r="B61" s="6">
        <v>-4.1742286751361102E-2</v>
      </c>
      <c r="C61" s="12">
        <v>4.7916666666666672E-3</v>
      </c>
    </row>
    <row r="62" spans="1:3" x14ac:dyDescent="0.35">
      <c r="A62" s="6">
        <v>1.9694238600707657E-2</v>
      </c>
      <c r="B62" s="6">
        <v>3.5984848484848467E-2</v>
      </c>
      <c r="C62" s="12">
        <v>4.7916666666666672E-3</v>
      </c>
    </row>
    <row r="63" spans="1:3" x14ac:dyDescent="0.35">
      <c r="A63" s="6">
        <v>-1.3879795731308105E-2</v>
      </c>
      <c r="B63" s="6">
        <v>-9.1407678244972659E-2</v>
      </c>
      <c r="C63" s="12">
        <v>4.7916666666666672E-3</v>
      </c>
    </row>
    <row r="64" spans="1:3" x14ac:dyDescent="0.35">
      <c r="A64" s="6">
        <v>-2.0647988314964814E-2</v>
      </c>
      <c r="B64" s="6">
        <v>-0.12877263581488926</v>
      </c>
      <c r="C64" s="12">
        <v>4.7916666666666672E-3</v>
      </c>
    </row>
    <row r="65" spans="1:3" x14ac:dyDescent="0.35">
      <c r="A65" s="6">
        <v>1.4778659073961087E-2</v>
      </c>
      <c r="B65" s="6">
        <v>-7.6212471131639661E-2</v>
      </c>
      <c r="C65" s="12">
        <v>4.7916666666666672E-3</v>
      </c>
    </row>
    <row r="66" spans="1:3" x14ac:dyDescent="0.35">
      <c r="A66" s="6">
        <v>3.8078695971674793E-3</v>
      </c>
      <c r="B66" s="6">
        <v>-0.11999999999999997</v>
      </c>
      <c r="C66" s="12">
        <v>4.7916666666666672E-3</v>
      </c>
    </row>
    <row r="67" spans="1:3" x14ac:dyDescent="0.35">
      <c r="A67" s="6">
        <v>3.7934247304671903E-3</v>
      </c>
      <c r="B67" s="6">
        <v>-0.12500000000000003</v>
      </c>
      <c r="C67" s="12">
        <v>4.7916666666666672E-3</v>
      </c>
    </row>
    <row r="68" spans="1:3" x14ac:dyDescent="0.35">
      <c r="A68" s="6">
        <v>1.0342770005966983E-2</v>
      </c>
      <c r="B68" s="6">
        <v>6.1688311688311653E-2</v>
      </c>
      <c r="C68" s="12">
        <v>4.7916666666666672E-3</v>
      </c>
    </row>
    <row r="69" spans="1:3" x14ac:dyDescent="0.35">
      <c r="A69" s="6">
        <v>1.8833256775378962E-2</v>
      </c>
      <c r="B69" s="6">
        <v>-0.30275229357798172</v>
      </c>
      <c r="C69" s="12">
        <v>4.7916666666666672E-3</v>
      </c>
    </row>
    <row r="70" spans="1:3" x14ac:dyDescent="0.35">
      <c r="A70" s="6">
        <v>2.5119154965863713E-2</v>
      </c>
      <c r="B70" s="6">
        <v>0.12280701754385984</v>
      </c>
      <c r="C70" s="12">
        <v>5.0000000000000001E-3</v>
      </c>
    </row>
    <row r="71" spans="1:3" x14ac:dyDescent="0.35">
      <c r="A71" s="6">
        <v>-5.441065594370445E-2</v>
      </c>
      <c r="B71" s="6">
        <v>0.11718749999999996</v>
      </c>
      <c r="C71" s="12">
        <v>5.0000000000000001E-3</v>
      </c>
    </row>
    <row r="72" spans="1:3" x14ac:dyDescent="0.35">
      <c r="A72" s="6">
        <v>2.2923588039867111E-2</v>
      </c>
      <c r="B72" s="6">
        <v>-8.7412587412587492E-2</v>
      </c>
      <c r="C72" s="12">
        <v>5.0000000000000001E-3</v>
      </c>
    </row>
    <row r="73" spans="1:3" x14ac:dyDescent="0.35">
      <c r="A73" s="6">
        <v>2.4683338746346217E-2</v>
      </c>
      <c r="B73" s="6">
        <v>-1.53256704980842E-2</v>
      </c>
      <c r="C73" s="12">
        <v>5.0000000000000001E-3</v>
      </c>
    </row>
    <row r="74" spans="1:3" x14ac:dyDescent="0.35">
      <c r="A74" s="6">
        <v>2.4683338746346217E-2</v>
      </c>
      <c r="B74" s="6">
        <v>-1.53256704980842E-2</v>
      </c>
      <c r="C74" s="12">
        <v>5.0000000000000001E-3</v>
      </c>
    </row>
    <row r="75" spans="1:3" x14ac:dyDescent="0.35">
      <c r="A75" s="6">
        <v>-4.1204437400950873E-3</v>
      </c>
      <c r="B75" s="6">
        <v>7.0038910505836549E-2</v>
      </c>
      <c r="C75" s="12">
        <v>5.0000000000000001E-3</v>
      </c>
    </row>
    <row r="76" spans="1:3" x14ac:dyDescent="0.35">
      <c r="A76" s="6">
        <v>8.9115213239974542E-3</v>
      </c>
      <c r="B76" s="6">
        <v>0.10909090909090906</v>
      </c>
      <c r="C76" s="12">
        <v>5.0000000000000001E-3</v>
      </c>
    </row>
    <row r="77" spans="1:3" x14ac:dyDescent="0.35">
      <c r="A77" s="6">
        <v>2.5552050473186119E-2</v>
      </c>
      <c r="B77" s="6">
        <v>-1.6393442622950834E-2</v>
      </c>
      <c r="C77" s="12">
        <v>5.208333333333333E-3</v>
      </c>
    </row>
    <row r="78" spans="1:3" x14ac:dyDescent="0.35">
      <c r="A78" s="6">
        <v>-6.1519532451553372E-4</v>
      </c>
      <c r="B78" s="6">
        <v>-5.3333333333333247E-2</v>
      </c>
      <c r="C78" s="12">
        <v>5.208333333333333E-3</v>
      </c>
    </row>
    <row r="79" spans="1:3" x14ac:dyDescent="0.35">
      <c r="A79" s="6">
        <v>6.4635272391505077E-3</v>
      </c>
      <c r="B79" s="6">
        <v>-0.11619718309859157</v>
      </c>
      <c r="C79" s="12">
        <v>5.208333333333333E-3</v>
      </c>
    </row>
    <row r="80" spans="1:3" x14ac:dyDescent="0.35">
      <c r="A80" s="6">
        <v>-5.8103975535168193E-3</v>
      </c>
      <c r="B80" s="6">
        <v>-0.15139442231075703</v>
      </c>
      <c r="C80" s="12">
        <v>5.208333333333333E-3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98133-F9B7-464A-B6D9-FEC68503C79A}">
  <dimension ref="A1:D80"/>
  <sheetViews>
    <sheetView tabSelected="1" topLeftCell="A34" workbookViewId="0">
      <selection activeCell="B39" sqref="B39"/>
    </sheetView>
  </sheetViews>
  <sheetFormatPr defaultRowHeight="15.5" x14ac:dyDescent="0.35"/>
  <cols>
    <col min="1" max="1" width="9" style="1"/>
  </cols>
  <sheetData>
    <row r="1" spans="1:4" x14ac:dyDescent="0.35">
      <c r="A1" s="1" t="s">
        <v>0</v>
      </c>
      <c r="B1" s="2" t="s">
        <v>5</v>
      </c>
    </row>
    <row r="2" spans="1:4" x14ac:dyDescent="0.35">
      <c r="A2" s="1">
        <v>43132</v>
      </c>
      <c r="B2">
        <v>7.1250000000000003E-3</v>
      </c>
      <c r="D2">
        <f>MAX(B2:B80)</f>
        <v>7.1250000000000003E-3</v>
      </c>
    </row>
    <row r="3" spans="1:4" x14ac:dyDescent="0.35">
      <c r="A3" s="1">
        <v>43160</v>
      </c>
      <c r="B3">
        <v>7.1250000000000003E-3</v>
      </c>
    </row>
    <row r="4" spans="1:4" x14ac:dyDescent="0.35">
      <c r="A4" s="1">
        <v>43191</v>
      </c>
      <c r="B4">
        <v>7.1250000000000003E-3</v>
      </c>
    </row>
    <row r="5" spans="1:4" x14ac:dyDescent="0.35">
      <c r="A5" s="1">
        <v>43221</v>
      </c>
      <c r="B5">
        <v>7.1250000000000003E-3</v>
      </c>
    </row>
    <row r="6" spans="1:4" x14ac:dyDescent="0.35">
      <c r="A6" s="1">
        <v>43252</v>
      </c>
      <c r="B6">
        <v>7.1250000000000003E-3</v>
      </c>
    </row>
    <row r="7" spans="1:4" x14ac:dyDescent="0.35">
      <c r="A7" s="1">
        <v>43282</v>
      </c>
      <c r="B7">
        <v>7.1250000000000003E-3</v>
      </c>
    </row>
    <row r="8" spans="1:4" x14ac:dyDescent="0.35">
      <c r="A8" s="1">
        <v>43313</v>
      </c>
      <c r="B8">
        <v>7.1250000000000003E-3</v>
      </c>
    </row>
    <row r="9" spans="1:4" x14ac:dyDescent="0.35">
      <c r="A9" s="1">
        <v>43344</v>
      </c>
      <c r="B9">
        <v>7.1250000000000003E-3</v>
      </c>
    </row>
    <row r="10" spans="1:4" x14ac:dyDescent="0.35">
      <c r="A10" s="1">
        <v>43374</v>
      </c>
      <c r="B10">
        <v>7.1250000000000003E-3</v>
      </c>
    </row>
    <row r="11" spans="1:4" x14ac:dyDescent="0.35">
      <c r="A11" s="1">
        <v>43405</v>
      </c>
      <c r="B11">
        <v>7.1250000000000003E-3</v>
      </c>
    </row>
    <row r="12" spans="1:4" x14ac:dyDescent="0.35">
      <c r="A12" s="1">
        <v>43435</v>
      </c>
      <c r="B12">
        <v>7.1250000000000003E-3</v>
      </c>
    </row>
    <row r="13" spans="1:4" x14ac:dyDescent="0.35">
      <c r="A13" s="1">
        <v>43466</v>
      </c>
      <c r="B13">
        <v>7.1250000000000003E-3</v>
      </c>
    </row>
    <row r="14" spans="1:4" x14ac:dyDescent="0.35">
      <c r="A14" s="1">
        <v>43497</v>
      </c>
      <c r="B14">
        <v>7.1250000000000003E-3</v>
      </c>
    </row>
    <row r="15" spans="1:4" x14ac:dyDescent="0.35">
      <c r="A15" s="1">
        <v>43525</v>
      </c>
      <c r="B15">
        <v>7.1250000000000003E-3</v>
      </c>
    </row>
    <row r="16" spans="1:4" x14ac:dyDescent="0.35">
      <c r="A16" s="1">
        <v>43556</v>
      </c>
      <c r="B16">
        <v>7.1250000000000003E-3</v>
      </c>
    </row>
    <row r="17" spans="1:2" x14ac:dyDescent="0.35">
      <c r="A17" s="1">
        <v>43586</v>
      </c>
      <c r="B17">
        <v>7.1250000000000003E-3</v>
      </c>
    </row>
    <row r="18" spans="1:2" x14ac:dyDescent="0.35">
      <c r="A18" s="1">
        <v>43617</v>
      </c>
      <c r="B18">
        <v>7.1250000000000003E-3</v>
      </c>
    </row>
    <row r="19" spans="1:2" x14ac:dyDescent="0.35">
      <c r="A19" s="1">
        <v>43647</v>
      </c>
      <c r="B19">
        <v>7.1250000000000003E-3</v>
      </c>
    </row>
    <row r="20" spans="1:2" x14ac:dyDescent="0.35">
      <c r="A20" s="1">
        <v>43678</v>
      </c>
      <c r="B20">
        <v>6.9166666666666673E-3</v>
      </c>
    </row>
    <row r="21" spans="1:2" x14ac:dyDescent="0.35">
      <c r="A21" s="1">
        <v>43709</v>
      </c>
      <c r="B21">
        <v>6.9166666666666673E-3</v>
      </c>
    </row>
    <row r="22" spans="1:2" x14ac:dyDescent="0.35">
      <c r="A22" s="1">
        <v>43739</v>
      </c>
      <c r="B22">
        <v>6.9166666666666673E-3</v>
      </c>
    </row>
    <row r="23" spans="1:2" x14ac:dyDescent="0.35">
      <c r="A23" s="1">
        <v>43770</v>
      </c>
      <c r="B23">
        <v>6.2916666666666668E-3</v>
      </c>
    </row>
    <row r="24" spans="1:2" x14ac:dyDescent="0.35">
      <c r="A24" s="1">
        <v>43800</v>
      </c>
      <c r="B24">
        <v>6.2916666666666668E-3</v>
      </c>
    </row>
    <row r="25" spans="1:2" x14ac:dyDescent="0.35">
      <c r="A25" s="1">
        <v>43831</v>
      </c>
      <c r="B25">
        <v>6.2916666666666668E-3</v>
      </c>
    </row>
    <row r="26" spans="1:2" x14ac:dyDescent="0.35">
      <c r="A26" s="1">
        <v>43862</v>
      </c>
      <c r="B26">
        <v>6.2916666666666668E-3</v>
      </c>
    </row>
    <row r="27" spans="1:2" x14ac:dyDescent="0.35">
      <c r="A27" s="1">
        <v>43891</v>
      </c>
      <c r="B27">
        <v>5.2500000000000003E-3</v>
      </c>
    </row>
    <row r="28" spans="1:2" x14ac:dyDescent="0.35">
      <c r="A28" s="1">
        <v>43922</v>
      </c>
      <c r="B28">
        <v>5.2500000000000003E-3</v>
      </c>
    </row>
    <row r="29" spans="1:2" x14ac:dyDescent="0.35">
      <c r="A29" s="1">
        <v>43952</v>
      </c>
      <c r="B29">
        <v>5.2500000000000003E-3</v>
      </c>
    </row>
    <row r="30" spans="1:2" x14ac:dyDescent="0.35">
      <c r="A30" s="1">
        <v>43983</v>
      </c>
      <c r="B30">
        <v>5.2500000000000003E-3</v>
      </c>
    </row>
    <row r="31" spans="1:2" x14ac:dyDescent="0.35">
      <c r="A31" s="1">
        <v>44013</v>
      </c>
      <c r="B31">
        <v>5.2500000000000003E-3</v>
      </c>
    </row>
    <row r="32" spans="1:2" x14ac:dyDescent="0.35">
      <c r="A32" s="1">
        <v>44044</v>
      </c>
      <c r="B32">
        <v>5.2500000000000003E-3</v>
      </c>
    </row>
    <row r="33" spans="1:2" x14ac:dyDescent="0.35">
      <c r="A33" s="1">
        <v>44075</v>
      </c>
      <c r="B33">
        <v>5.2500000000000003E-3</v>
      </c>
    </row>
    <row r="34" spans="1:2" x14ac:dyDescent="0.35">
      <c r="A34" s="1">
        <v>44105</v>
      </c>
      <c r="B34">
        <v>5.2500000000000003E-3</v>
      </c>
    </row>
    <row r="35" spans="1:2" x14ac:dyDescent="0.35">
      <c r="A35" s="1">
        <v>44136</v>
      </c>
      <c r="B35">
        <v>5.2500000000000003E-3</v>
      </c>
    </row>
    <row r="36" spans="1:2" x14ac:dyDescent="0.35">
      <c r="A36" s="1">
        <v>44166</v>
      </c>
      <c r="B36">
        <v>5.2500000000000003E-3</v>
      </c>
    </row>
    <row r="37" spans="1:2" x14ac:dyDescent="0.35">
      <c r="A37" s="1">
        <v>44197</v>
      </c>
      <c r="B37">
        <v>5.2500000000000003E-3</v>
      </c>
    </row>
    <row r="38" spans="1:2" x14ac:dyDescent="0.35">
      <c r="A38" s="1">
        <v>44228</v>
      </c>
      <c r="B38">
        <v>5.2500000000000003E-3</v>
      </c>
    </row>
    <row r="39" spans="1:2" x14ac:dyDescent="0.35">
      <c r="A39" s="1">
        <v>44256</v>
      </c>
      <c r="B39">
        <v>5.2500000000000003E-3</v>
      </c>
    </row>
    <row r="40" spans="1:2" x14ac:dyDescent="0.35">
      <c r="A40" s="1">
        <v>44287</v>
      </c>
      <c r="B40">
        <v>5.2500000000000003E-3</v>
      </c>
    </row>
    <row r="41" spans="1:2" x14ac:dyDescent="0.35">
      <c r="A41" s="1">
        <v>44317</v>
      </c>
      <c r="B41">
        <v>5.2500000000000003E-3</v>
      </c>
    </row>
    <row r="42" spans="1:2" x14ac:dyDescent="0.35">
      <c r="A42" s="1">
        <v>44348</v>
      </c>
      <c r="B42">
        <v>5.2500000000000003E-3</v>
      </c>
    </row>
    <row r="43" spans="1:2" x14ac:dyDescent="0.35">
      <c r="A43" s="1">
        <v>44378</v>
      </c>
      <c r="B43">
        <v>5.2500000000000003E-3</v>
      </c>
    </row>
    <row r="44" spans="1:2" x14ac:dyDescent="0.35">
      <c r="A44" s="1">
        <v>44409</v>
      </c>
      <c r="B44">
        <v>5.2500000000000003E-3</v>
      </c>
    </row>
    <row r="45" spans="1:2" x14ac:dyDescent="0.35">
      <c r="A45" s="1">
        <v>44440</v>
      </c>
      <c r="B45">
        <v>5.2500000000000003E-3</v>
      </c>
    </row>
    <row r="46" spans="1:2" x14ac:dyDescent="0.35">
      <c r="A46" s="1">
        <v>44470</v>
      </c>
      <c r="B46">
        <v>5.2500000000000003E-3</v>
      </c>
    </row>
    <row r="47" spans="1:2" x14ac:dyDescent="0.35">
      <c r="A47" s="1">
        <v>44501</v>
      </c>
      <c r="B47">
        <v>5.2500000000000003E-3</v>
      </c>
    </row>
    <row r="48" spans="1:2" x14ac:dyDescent="0.35">
      <c r="A48" s="1">
        <v>44531</v>
      </c>
      <c r="B48">
        <v>5.2500000000000003E-3</v>
      </c>
    </row>
    <row r="49" spans="1:2" x14ac:dyDescent="0.35">
      <c r="A49" s="1">
        <v>44562</v>
      </c>
      <c r="B49">
        <v>5.2500000000000003E-3</v>
      </c>
    </row>
    <row r="50" spans="1:2" x14ac:dyDescent="0.35">
      <c r="A50" s="1">
        <v>44593</v>
      </c>
      <c r="B50">
        <v>5.2500000000000003E-3</v>
      </c>
    </row>
    <row r="51" spans="1:2" x14ac:dyDescent="0.35">
      <c r="A51" s="1">
        <v>44621</v>
      </c>
      <c r="B51">
        <v>4.2499999999999994E-3</v>
      </c>
    </row>
    <row r="52" spans="1:2" x14ac:dyDescent="0.35">
      <c r="A52" s="1">
        <v>44652</v>
      </c>
      <c r="B52">
        <v>4.2499999999999994E-3</v>
      </c>
    </row>
    <row r="53" spans="1:2" x14ac:dyDescent="0.35">
      <c r="A53" s="1">
        <v>44682</v>
      </c>
      <c r="B53">
        <v>4.2499999999999994E-3</v>
      </c>
    </row>
    <row r="54" spans="1:2" x14ac:dyDescent="0.35">
      <c r="A54" s="1">
        <v>44713</v>
      </c>
      <c r="B54">
        <v>4.2499999999999994E-3</v>
      </c>
    </row>
    <row r="55" spans="1:2" x14ac:dyDescent="0.35">
      <c r="A55" s="1">
        <v>44743</v>
      </c>
      <c r="B55">
        <v>4.2499999999999994E-3</v>
      </c>
    </row>
    <row r="56" spans="1:2" x14ac:dyDescent="0.35">
      <c r="A56" s="1">
        <v>44774</v>
      </c>
      <c r="B56">
        <v>4.2499999999999994E-3</v>
      </c>
    </row>
    <row r="57" spans="1:2" x14ac:dyDescent="0.35">
      <c r="A57" s="1">
        <v>44805</v>
      </c>
      <c r="B57">
        <v>4.7916666666666672E-3</v>
      </c>
    </row>
    <row r="58" spans="1:2" x14ac:dyDescent="0.35">
      <c r="A58" s="1">
        <v>44835</v>
      </c>
      <c r="B58">
        <v>4.7916666666666672E-3</v>
      </c>
    </row>
    <row r="59" spans="1:2" x14ac:dyDescent="0.35">
      <c r="A59" s="1">
        <v>44866</v>
      </c>
      <c r="B59">
        <v>4.7916666666666672E-3</v>
      </c>
    </row>
    <row r="60" spans="1:2" x14ac:dyDescent="0.35">
      <c r="A60" s="1">
        <v>44896</v>
      </c>
      <c r="B60">
        <v>6.0416666666666665E-3</v>
      </c>
    </row>
    <row r="61" spans="1:2" x14ac:dyDescent="0.35">
      <c r="A61" s="1">
        <v>44927</v>
      </c>
      <c r="B61">
        <v>6.0416666666666665E-3</v>
      </c>
    </row>
    <row r="62" spans="1:2" x14ac:dyDescent="0.35">
      <c r="A62" s="1">
        <v>44958</v>
      </c>
      <c r="B62">
        <v>6.0416666666666665E-3</v>
      </c>
    </row>
    <row r="63" spans="1:2" x14ac:dyDescent="0.35">
      <c r="A63" s="1">
        <v>44986</v>
      </c>
      <c r="B63">
        <v>6.4583333333333333E-3</v>
      </c>
    </row>
    <row r="64" spans="1:2" x14ac:dyDescent="0.35">
      <c r="A64" s="1">
        <v>45017</v>
      </c>
      <c r="B64">
        <v>6.4583333333333333E-3</v>
      </c>
    </row>
    <row r="65" spans="1:2" x14ac:dyDescent="0.35">
      <c r="A65" s="1">
        <v>45047</v>
      </c>
      <c r="B65">
        <v>6.4583333333333333E-3</v>
      </c>
    </row>
    <row r="66" spans="1:2" x14ac:dyDescent="0.35">
      <c r="A66" s="1">
        <v>45078</v>
      </c>
      <c r="B66">
        <v>6.4583333333333333E-3</v>
      </c>
    </row>
    <row r="67" spans="1:2" x14ac:dyDescent="0.35">
      <c r="A67" s="1">
        <v>45108</v>
      </c>
      <c r="B67">
        <v>6.4583333333333333E-3</v>
      </c>
    </row>
    <row r="68" spans="1:2" x14ac:dyDescent="0.35">
      <c r="A68" s="1">
        <v>45139</v>
      </c>
      <c r="B68">
        <v>6.4583333333333333E-3</v>
      </c>
    </row>
    <row r="69" spans="1:2" x14ac:dyDescent="0.35">
      <c r="A69" s="1">
        <v>45170</v>
      </c>
      <c r="B69">
        <v>6.4583333333333333E-3</v>
      </c>
    </row>
    <row r="70" spans="1:2" x14ac:dyDescent="0.35">
      <c r="A70" s="1">
        <v>45200</v>
      </c>
      <c r="B70">
        <v>6.4583333333333333E-3</v>
      </c>
    </row>
    <row r="71" spans="1:2" x14ac:dyDescent="0.35">
      <c r="A71" s="1">
        <v>45231</v>
      </c>
      <c r="B71">
        <v>6.4583333333333333E-3</v>
      </c>
    </row>
    <row r="72" spans="1:2" x14ac:dyDescent="0.35">
      <c r="A72" s="1">
        <v>45261</v>
      </c>
      <c r="B72">
        <v>6.6666666666666671E-3</v>
      </c>
    </row>
    <row r="73" spans="1:2" x14ac:dyDescent="0.35">
      <c r="A73" s="1">
        <v>45292</v>
      </c>
      <c r="B73">
        <v>6.6666666666666671E-3</v>
      </c>
    </row>
    <row r="74" spans="1:2" x14ac:dyDescent="0.35">
      <c r="A74" s="1">
        <v>45323</v>
      </c>
      <c r="B74">
        <v>6.6666666666666671E-3</v>
      </c>
    </row>
    <row r="75" spans="1:2" x14ac:dyDescent="0.35">
      <c r="A75" s="1">
        <v>45352</v>
      </c>
      <c r="B75">
        <v>6.6666666666666671E-3</v>
      </c>
    </row>
    <row r="76" spans="1:2" x14ac:dyDescent="0.35">
      <c r="A76" s="1">
        <v>45383</v>
      </c>
      <c r="B76">
        <v>6.6666666666666671E-3</v>
      </c>
    </row>
    <row r="77" spans="1:2" x14ac:dyDescent="0.35">
      <c r="A77" s="1">
        <v>45413</v>
      </c>
      <c r="B77">
        <v>6.6666666666666671E-3</v>
      </c>
    </row>
    <row r="78" spans="1:2" x14ac:dyDescent="0.35">
      <c r="A78" s="1">
        <v>45444</v>
      </c>
      <c r="B78">
        <v>6.6666666666666671E-3</v>
      </c>
    </row>
    <row r="79" spans="1:2" x14ac:dyDescent="0.35">
      <c r="A79" s="1">
        <v>45474</v>
      </c>
      <c r="B79">
        <v>6.6666666666666671E-3</v>
      </c>
    </row>
    <row r="80" spans="1:2" x14ac:dyDescent="0.35">
      <c r="A80" s="1">
        <v>45505</v>
      </c>
      <c r="B80">
        <v>6.6666666666666671E-3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AEC8D-AE20-4147-A0C8-B98F00CFB35F}">
  <dimension ref="A1:O80"/>
  <sheetViews>
    <sheetView workbookViewId="0">
      <pane ySplit="1" topLeftCell="A66" activePane="bottomLeft" state="frozen"/>
      <selection activeCell="B1" sqref="B1"/>
      <selection pane="bottomLeft" sqref="A1:I80"/>
    </sheetView>
  </sheetViews>
  <sheetFormatPr defaultRowHeight="15.5" x14ac:dyDescent="0.35"/>
  <cols>
    <col min="1" max="1" width="9" style="1"/>
    <col min="2" max="2" width="9" style="4" customWidth="1"/>
    <col min="3" max="5" width="9" style="4"/>
    <col min="6" max="8" width="9" style="18"/>
  </cols>
  <sheetData>
    <row r="1" spans="1:1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6" t="s">
        <v>6</v>
      </c>
      <c r="G1" s="16" t="s">
        <v>7</v>
      </c>
      <c r="H1" s="16" t="s">
        <v>8</v>
      </c>
      <c r="I1" s="2" t="s">
        <v>5</v>
      </c>
    </row>
    <row r="2" spans="1:15" x14ac:dyDescent="0.35">
      <c r="A2" s="1">
        <v>43132</v>
      </c>
      <c r="B2" s="11">
        <f>'Data Ri Aset'!B2</f>
        <v>-1.273156383266979E-3</v>
      </c>
      <c r="C2" s="11">
        <f>'Data Ri Aset'!C2</f>
        <v>-1.8318006526253369E-2</v>
      </c>
      <c r="D2" s="11">
        <f>'Data Ri Aset'!D2</f>
        <v>4.384298828743273E-2</v>
      </c>
      <c r="E2" s="11">
        <f>'Data Ri Aset'!E2</f>
        <v>6.6729012020963624E-3</v>
      </c>
      <c r="F2" s="17">
        <f>'Data Makro Bulanan'!D2</f>
        <v>2.1919033773205098E-2</v>
      </c>
      <c r="G2" s="17">
        <f>'Data Makro Bulanan'!G2</f>
        <v>-2.1538461538461513E-2</v>
      </c>
      <c r="H2" s="17">
        <f>'Data Makro Bulanan'!J2</f>
        <v>3.5416666666666669E-3</v>
      </c>
      <c r="I2" s="12">
        <f>Rf!B2</f>
        <v>7.1250000000000003E-3</v>
      </c>
    </row>
    <row r="3" spans="1:15" x14ac:dyDescent="0.35">
      <c r="A3" s="1">
        <v>43160</v>
      </c>
      <c r="B3" s="11">
        <f>'Data Ri Aset'!B3</f>
        <v>-6.1879094527695071E-2</v>
      </c>
      <c r="C3" s="11">
        <f>'Data Ri Aset'!C3</f>
        <v>7.2523985797385429E-3</v>
      </c>
      <c r="D3" s="11">
        <f>'Data Ri Aset'!D3</f>
        <v>1.1220621683093252E-2</v>
      </c>
      <c r="E3" s="11">
        <f>'Data Ri Aset'!E3</f>
        <v>-0.32859810913595061</v>
      </c>
      <c r="F3" s="17">
        <f>'Data Makro Bulanan'!D3</f>
        <v>3.5748157875538046E-3</v>
      </c>
      <c r="G3" s="17">
        <f>'Data Makro Bulanan'!G3</f>
        <v>6.9182389937106931E-2</v>
      </c>
      <c r="H3" s="17">
        <f>'Data Makro Bulanan'!J3</f>
        <v>3.5416666666666669E-3</v>
      </c>
      <c r="I3" s="12">
        <f>Rf!B3</f>
        <v>7.1250000000000003E-3</v>
      </c>
      <c r="O3" t="s">
        <v>18</v>
      </c>
    </row>
    <row r="4" spans="1:15" x14ac:dyDescent="0.35">
      <c r="A4" s="1">
        <v>43191</v>
      </c>
      <c r="B4" s="11">
        <f>'Data Ri Aset'!B4</f>
        <v>-3.1409002115046145E-2</v>
      </c>
      <c r="C4" s="11">
        <f>'Data Ri Aset'!C4</f>
        <v>-6.0001500037500941E-3</v>
      </c>
      <c r="D4" s="11">
        <f>'Data Ri Aset'!D4</f>
        <v>3.5537561853351329E-2</v>
      </c>
      <c r="E4" s="11">
        <f>'Data Ri Aset'!E4</f>
        <v>0.33249257732553122</v>
      </c>
      <c r="F4" s="17">
        <f>'Data Makro Bulanan'!D4</f>
        <v>8.7961616749054963E-3</v>
      </c>
      <c r="G4" s="17">
        <f>'Data Makro Bulanan'!G4</f>
        <v>2.9411764705881151E-3</v>
      </c>
      <c r="H4" s="17">
        <f>'Data Makro Bulanan'!J4</f>
        <v>3.5416666666666669E-3</v>
      </c>
      <c r="I4" s="12">
        <f>Rf!B4</f>
        <v>7.1250000000000003E-3</v>
      </c>
      <c r="K4" s="19" t="s">
        <v>15</v>
      </c>
      <c r="O4">
        <v>1</v>
      </c>
    </row>
    <row r="5" spans="1:15" ht="15.4" customHeight="1" x14ac:dyDescent="0.35">
      <c r="A5" s="1">
        <v>43221</v>
      </c>
      <c r="B5" s="11">
        <f>'Data Ri Aset'!B5</f>
        <v>-1.8366529876889563E-3</v>
      </c>
      <c r="C5" s="11">
        <f>'Data Ri Aset'!C5</f>
        <v>-1.0940919037199124E-2</v>
      </c>
      <c r="D5" s="11">
        <f>'Data Ri Aset'!D5</f>
        <v>2.2299449753837242E-2</v>
      </c>
      <c r="E5" s="11">
        <f>'Data Ri Aset'!E5</f>
        <v>-0.18847822089539323</v>
      </c>
      <c r="F5" s="17">
        <f>'Data Makro Bulanan'!D5</f>
        <v>5.3325646753621097E-3</v>
      </c>
      <c r="G5" s="17">
        <f>'Data Makro Bulanan'!G5</f>
        <v>-5.2785923753665573E-2</v>
      </c>
      <c r="H5" s="17">
        <f>'Data Makro Bulanan'!J5</f>
        <v>3.9583333333333337E-3</v>
      </c>
      <c r="I5" s="12">
        <f>Rf!B5</f>
        <v>7.1250000000000003E-3</v>
      </c>
      <c r="K5" s="21" t="s">
        <v>17</v>
      </c>
      <c r="L5" s="21"/>
      <c r="M5" s="21"/>
      <c r="N5" s="20"/>
    </row>
    <row r="6" spans="1:15" x14ac:dyDescent="0.35">
      <c r="A6" s="1">
        <v>43252</v>
      </c>
      <c r="B6" s="11">
        <f>'Data Ri Aset'!B6</f>
        <v>-3.0809263335221892E-2</v>
      </c>
      <c r="C6" s="11">
        <f>'Data Ri Aset'!C6</f>
        <v>-3.8602380225816225E-2</v>
      </c>
      <c r="D6" s="11">
        <f>'Data Ri Aset'!D6</f>
        <v>0.10524079320113315</v>
      </c>
      <c r="E6" s="11">
        <f>'Data Ri Aset'!E6</f>
        <v>-0.1471090022125664</v>
      </c>
      <c r="F6" s="17">
        <f>'Data Makro Bulanan'!D6</f>
        <v>3.2470790624328005E-2</v>
      </c>
      <c r="G6" s="17">
        <f>'Data Makro Bulanan'!G6</f>
        <v>-3.4055727554179571E-2</v>
      </c>
      <c r="H6" s="17">
        <f>'Data Makro Bulanan'!J6</f>
        <v>4.3749999999999995E-3</v>
      </c>
      <c r="I6" s="12">
        <f>Rf!B6</f>
        <v>7.1250000000000003E-3</v>
      </c>
      <c r="K6" s="21"/>
      <c r="L6" s="21"/>
      <c r="M6" s="21"/>
      <c r="N6" s="20"/>
    </row>
    <row r="7" spans="1:15" x14ac:dyDescent="0.35">
      <c r="A7" s="1">
        <v>43282</v>
      </c>
      <c r="B7" s="11">
        <f>'Data Ri Aset'!B7</f>
        <v>2.3658272463288263E-2</v>
      </c>
      <c r="C7" s="11">
        <f>'Data Ri Aset'!C7</f>
        <v>-2.1107760672909169E-2</v>
      </c>
      <c r="D7" s="11">
        <f>'Data Ri Aset'!D7</f>
        <v>-6.1514801999231067E-3</v>
      </c>
      <c r="E7" s="11">
        <f>'Data Ri Aset'!E7</f>
        <v>0.20792636234352779</v>
      </c>
      <c r="F7" s="17">
        <f>'Data Makro Bulanan'!D7</f>
        <v>6.248264371008053E-4</v>
      </c>
      <c r="G7" s="17">
        <f>'Data Makro Bulanan'!G7</f>
        <v>1.9230769230769225E-2</v>
      </c>
      <c r="H7" s="17">
        <f>'Data Makro Bulanan'!J7</f>
        <v>4.3749999999999995E-3</v>
      </c>
      <c r="I7" s="12">
        <f>Rf!B7</f>
        <v>7.1250000000000003E-3</v>
      </c>
      <c r="K7" s="21"/>
      <c r="L7" s="21"/>
      <c r="M7" s="21"/>
      <c r="N7" s="20"/>
    </row>
    <row r="8" spans="1:15" x14ac:dyDescent="0.35">
      <c r="A8" s="1">
        <v>43313</v>
      </c>
      <c r="B8" s="11">
        <f>'Data Ri Aset'!B8</f>
        <v>1.381636132092642E-2</v>
      </c>
      <c r="C8" s="11">
        <f>'Data Ri Aset'!C8</f>
        <v>-2.1806095979247622E-2</v>
      </c>
      <c r="D8" s="11">
        <f>'Data Ri Aset'!D8</f>
        <v>4.7969052224371374E-2</v>
      </c>
      <c r="E8" s="11">
        <f>'Data Ri Aset'!E8</f>
        <v>-8.9994048697182125E-2</v>
      </c>
      <c r="F8" s="17">
        <f>'Data Makro Bulanan'!D8</f>
        <v>2.0675778810795808E-2</v>
      </c>
      <c r="G8" s="17">
        <f>'Data Makro Bulanan'!G8</f>
        <v>6.2893081761005902E-3</v>
      </c>
      <c r="H8" s="17">
        <f>'Data Makro Bulanan'!J8</f>
        <v>4.5833333333333334E-3</v>
      </c>
      <c r="I8" s="12">
        <f>Rf!B8</f>
        <v>7.1250000000000003E-3</v>
      </c>
      <c r="K8" s="20"/>
      <c r="L8" s="20"/>
      <c r="M8" s="20"/>
      <c r="N8" s="20"/>
    </row>
    <row r="9" spans="1:15" x14ac:dyDescent="0.35">
      <c r="A9" s="1">
        <v>43344</v>
      </c>
      <c r="B9" s="11">
        <f>'Data Ri Aset'!B9</f>
        <v>-6.9635753996869386E-3</v>
      </c>
      <c r="C9" s="11">
        <f>'Data Ri Aset'!C9</f>
        <v>-3.9777906687660184E-3</v>
      </c>
      <c r="D9" s="11">
        <f>'Data Ri Aset'!D9</f>
        <v>9.9667774086378731E-3</v>
      </c>
      <c r="E9" s="11">
        <f>'Data Ri Aset'!E9</f>
        <v>-5.6669225738576641E-2</v>
      </c>
      <c r="F9" s="17">
        <f>'Data Makro Bulanan'!D9</f>
        <v>1.4818843042621169E-2</v>
      </c>
      <c r="G9" s="17">
        <f>'Data Makro Bulanan'!G9</f>
        <v>-0.10000000000000005</v>
      </c>
      <c r="H9" s="17">
        <f>'Data Makro Bulanan'!J9</f>
        <v>4.7916666666666672E-3</v>
      </c>
      <c r="I9" s="12">
        <f>Rf!B9</f>
        <v>7.1250000000000003E-3</v>
      </c>
      <c r="K9" s="20"/>
      <c r="L9" s="20"/>
      <c r="M9" s="20"/>
      <c r="N9" s="20"/>
    </row>
    <row r="10" spans="1:15" x14ac:dyDescent="0.35">
      <c r="A10" s="1">
        <v>43374</v>
      </c>
      <c r="B10" s="11">
        <f>'Data Ri Aset'!B10</f>
        <v>-2.4244756590340671E-2</v>
      </c>
      <c r="C10" s="11">
        <f>'Data Ri Aset'!C10</f>
        <v>1.5725101921956787E-2</v>
      </c>
      <c r="D10" s="11">
        <f>'Data Ri Aset'!D10</f>
        <v>4.7880116959064328E-2</v>
      </c>
      <c r="E10" s="11">
        <f>'Data Ri Aset'!E10</f>
        <v>-4.0586568603810012E-2</v>
      </c>
      <c r="F10" s="17">
        <f>'Data Makro Bulanan'!D10</f>
        <v>1.9961149440685912E-2</v>
      </c>
      <c r="G10" s="17">
        <f>'Data Makro Bulanan'!G10</f>
        <v>9.7222222222222363E-2</v>
      </c>
      <c r="H10" s="17">
        <f>'Data Makro Bulanan'!J10</f>
        <v>4.7916666666666672E-3</v>
      </c>
      <c r="I10" s="12">
        <f>Rf!B10</f>
        <v>7.1250000000000003E-3</v>
      </c>
    </row>
    <row r="11" spans="1:15" x14ac:dyDescent="0.35">
      <c r="A11" s="1">
        <v>43405</v>
      </c>
      <c r="B11" s="11">
        <f>'Data Ri Aset'!B11</f>
        <v>3.8491679027376519E-2</v>
      </c>
      <c r="C11" s="11">
        <f>'Data Ri Aset'!C11</f>
        <v>9.0104849279161216E-3</v>
      </c>
      <c r="D11" s="11">
        <f>'Data Ri Aset'!D11</f>
        <v>-8.5455179630275546E-2</v>
      </c>
      <c r="E11" s="11">
        <f>'Data Ri Aset'!E11</f>
        <v>-0.3654157306900831</v>
      </c>
      <c r="F11" s="17">
        <f>'Data Makro Bulanan'!D11</f>
        <v>-5.8317462402311684E-2</v>
      </c>
      <c r="G11" s="17">
        <f>'Data Makro Bulanan'!G11</f>
        <v>2.2151898734177188E-2</v>
      </c>
      <c r="H11" s="17">
        <f>'Data Makro Bulanan'!J11</f>
        <v>5.0000000000000001E-3</v>
      </c>
      <c r="I11" s="12">
        <f>Rf!B11</f>
        <v>7.1250000000000003E-3</v>
      </c>
    </row>
    <row r="12" spans="1:15" x14ac:dyDescent="0.35">
      <c r="A12" s="1">
        <v>43435</v>
      </c>
      <c r="B12" s="11">
        <f>'Data Ri Aset'!B12</f>
        <v>2.2849613283752651E-2</v>
      </c>
      <c r="C12" s="11">
        <f>'Data Ri Aset'!C12</f>
        <v>4.5380743627212283E-2</v>
      </c>
      <c r="D12" s="11">
        <f>'Data Ri Aset'!D12</f>
        <v>1.6653953724891941E-2</v>
      </c>
      <c r="E12" s="11">
        <f>'Data Ri Aset'!E12</f>
        <v>-8.1763497289402617E-2</v>
      </c>
      <c r="F12" s="17">
        <f>'Data Makro Bulanan'!D12</f>
        <v>9.9030615803054611E-3</v>
      </c>
      <c r="G12" s="17">
        <f>'Data Makro Bulanan'!G12</f>
        <v>-3.0959752321981449E-2</v>
      </c>
      <c r="H12" s="17">
        <f>'Data Makro Bulanan'!J12</f>
        <v>5.0000000000000001E-3</v>
      </c>
      <c r="I12" s="12">
        <f>Rf!B12</f>
        <v>7.1250000000000003E-3</v>
      </c>
    </row>
    <row r="13" spans="1:15" x14ac:dyDescent="0.35">
      <c r="A13" s="1">
        <v>43466</v>
      </c>
      <c r="B13" s="11">
        <f>'Data Ri Aset'!B13</f>
        <v>5.4640406812494997E-2</v>
      </c>
      <c r="C13" s="11">
        <f>'Data Ri Aset'!C13</f>
        <v>3.4091791566358519E-2</v>
      </c>
      <c r="D13" s="11">
        <f>'Data Ri Aset'!D13</f>
        <v>6.7525321995748405E-3</v>
      </c>
      <c r="E13" s="11">
        <f>'Data Ri Aset'!E13</f>
        <v>-7.3381139806976942E-2</v>
      </c>
      <c r="F13" s="17">
        <f>'Data Makro Bulanan'!D13</f>
        <v>-2.8243905807609972E-2</v>
      </c>
      <c r="G13" s="17">
        <f>'Data Makro Bulanan'!G13</f>
        <v>-9.9041533546325944E-2</v>
      </c>
      <c r="H13" s="17">
        <f>'Data Makro Bulanan'!J13</f>
        <v>5.0000000000000001E-3</v>
      </c>
      <c r="I13" s="12">
        <f>Rf!B13</f>
        <v>7.1250000000000003E-3</v>
      </c>
    </row>
    <row r="14" spans="1:15" x14ac:dyDescent="0.35">
      <c r="A14" s="1">
        <v>43497</v>
      </c>
      <c r="B14" s="11">
        <f>'Data Ri Aset'!B14</f>
        <v>-1.3718109833659099E-2</v>
      </c>
      <c r="C14" s="11">
        <f>'Data Ri Aset'!C14</f>
        <v>-6.6836887954339619E-3</v>
      </c>
      <c r="D14" s="11">
        <f>'Data Ri Aset'!D14</f>
        <v>-3.105204322444417E-2</v>
      </c>
      <c r="E14" s="11">
        <f>'Data Ri Aset'!E14</f>
        <v>0.11038054230187365</v>
      </c>
      <c r="F14" s="17">
        <f>'Data Makro Bulanan'!D14</f>
        <v>-7.1063104036384311E-4</v>
      </c>
      <c r="G14" s="17">
        <f>'Data Makro Bulanan'!G14</f>
        <v>-8.8652482269503632E-2</v>
      </c>
      <c r="H14" s="17">
        <f>'Data Makro Bulanan'!J14</f>
        <v>5.0000000000000001E-3</v>
      </c>
      <c r="I14" s="12">
        <f>Rf!B14</f>
        <v>7.1250000000000003E-3</v>
      </c>
    </row>
    <row r="15" spans="1:15" x14ac:dyDescent="0.35">
      <c r="A15" s="1">
        <v>43525</v>
      </c>
      <c r="B15" s="11">
        <f>'Data Ri Aset'!B15</f>
        <v>3.942048778973614E-3</v>
      </c>
      <c r="C15" s="11">
        <f>'Data Ri Aset'!C15</f>
        <v>-1.3759733877674488E-2</v>
      </c>
      <c r="D15" s="11">
        <f>'Data Ri Aset'!D15</f>
        <v>-1.7433662350980643E-2</v>
      </c>
      <c r="E15" s="11">
        <f>'Data Ri Aset'!E15</f>
        <v>7.4857202745899562E-2</v>
      </c>
      <c r="F15" s="17">
        <f>'Data Makro Bulanan'!D15</f>
        <v>1.2942682406485564E-2</v>
      </c>
      <c r="G15" s="17">
        <f>'Data Makro Bulanan'!G15</f>
        <v>-3.5019455252918212E-2</v>
      </c>
      <c r="H15" s="17">
        <f>'Data Makro Bulanan'!J15</f>
        <v>5.0000000000000001E-3</v>
      </c>
      <c r="I15" s="12">
        <f>Rf!B15</f>
        <v>7.1250000000000003E-3</v>
      </c>
    </row>
    <row r="16" spans="1:15" x14ac:dyDescent="0.35">
      <c r="A16" s="1">
        <v>43556</v>
      </c>
      <c r="B16" s="11">
        <f>'Data Ri Aset'!B16</f>
        <v>-2.0714975845410066E-3</v>
      </c>
      <c r="C16" s="11">
        <f>'Data Ri Aset'!C16</f>
        <v>-9.8121885779991983E-3</v>
      </c>
      <c r="D16" s="11">
        <f>'Data Ri Aset'!D16</f>
        <v>1.7742987606001303E-2</v>
      </c>
      <c r="E16" s="11">
        <f>'Data Ri Aset'!E16</f>
        <v>0.29702849620944349</v>
      </c>
      <c r="F16" s="17">
        <f>'Data Makro Bulanan'!D16</f>
        <v>-2.0359449592811008E-3</v>
      </c>
      <c r="G16" s="17">
        <f>'Data Makro Bulanan'!G16</f>
        <v>0.14112903225806464</v>
      </c>
      <c r="H16" s="17">
        <f>'Data Makro Bulanan'!J16</f>
        <v>5.0000000000000001E-3</v>
      </c>
      <c r="I16" s="12">
        <f>Rf!B16</f>
        <v>7.1250000000000003E-3</v>
      </c>
    </row>
    <row r="17" spans="1:9" x14ac:dyDescent="0.35">
      <c r="A17" s="1">
        <v>43586</v>
      </c>
      <c r="B17" s="11">
        <f>'Data Ri Aset'!B17</f>
        <v>-3.8143555345566155E-2</v>
      </c>
      <c r="C17" s="11">
        <f>'Data Ri Aset'!C17</f>
        <v>1.950917395680115E-2</v>
      </c>
      <c r="D17" s="11">
        <f>'Data Ri Aset'!D17</f>
        <v>2.8457890014100755E-2</v>
      </c>
      <c r="E17" s="11">
        <f>'Data Ri Aset'!E17</f>
        <v>0.60846113366411048</v>
      </c>
      <c r="F17" s="17">
        <f>'Data Makro Bulanan'!D17</f>
        <v>1.1959198030249736E-2</v>
      </c>
      <c r="G17" s="17">
        <f>'Data Makro Bulanan'!G17</f>
        <v>0.17314487632508826</v>
      </c>
      <c r="H17" s="17">
        <f>'Data Makro Bulanan'!J17</f>
        <v>5.0000000000000001E-3</v>
      </c>
      <c r="I17" s="12">
        <f>Rf!B17</f>
        <v>7.1250000000000003E-3</v>
      </c>
    </row>
    <row r="18" spans="1:9" x14ac:dyDescent="0.35">
      <c r="A18" s="1">
        <v>43617</v>
      </c>
      <c r="B18" s="11">
        <f>'Data Ri Aset'!B18</f>
        <v>2.4079096554745313E-2</v>
      </c>
      <c r="C18" s="11">
        <f>'Data Ri Aset'!C18</f>
        <v>7.7986179664363137E-2</v>
      </c>
      <c r="D18" s="11">
        <f>'Data Ri Aset'!D18</f>
        <v>-8.1515642527732773E-2</v>
      </c>
      <c r="E18" s="11">
        <f>'Data Ri Aset'!E18</f>
        <v>0.26410618931329838</v>
      </c>
      <c r="F18" s="17">
        <f>'Data Makro Bulanan'!D18</f>
        <v>-1.6962113312478277E-2</v>
      </c>
      <c r="G18" s="17">
        <f>'Data Makro Bulanan'!G18</f>
        <v>-1.2048192771084473E-2</v>
      </c>
      <c r="H18" s="17">
        <f>'Data Makro Bulanan'!J18</f>
        <v>5.0000000000000001E-3</v>
      </c>
      <c r="I18" s="12">
        <f>Rf!B18</f>
        <v>7.1250000000000003E-3</v>
      </c>
    </row>
    <row r="19" spans="1:9" x14ac:dyDescent="0.35">
      <c r="A19" s="1">
        <v>43647</v>
      </c>
      <c r="B19" s="11">
        <f>'Data Ri Aset'!B19</f>
        <v>5.0120859367505091E-3</v>
      </c>
      <c r="C19" s="11">
        <f>'Data Ri Aset'!C19</f>
        <v>1.2820512820512853E-2</v>
      </c>
      <c r="D19" s="11">
        <f>'Data Ri Aset'!D19</f>
        <v>1.2213326095806758E-3</v>
      </c>
      <c r="E19" s="11">
        <f>'Data Ri Aset'!E19</f>
        <v>-6.8086443717301715E-2</v>
      </c>
      <c r="F19" s="17">
        <f>'Data Makro Bulanan'!D19</f>
        <v>-8.1323810197298629E-3</v>
      </c>
      <c r="G19" s="17">
        <f>'Data Makro Bulanan'!G19</f>
        <v>1.2195121951219651E-2</v>
      </c>
      <c r="H19" s="17">
        <f>'Data Makro Bulanan'!J19</f>
        <v>4.7916666666666672E-3</v>
      </c>
      <c r="I19" s="12">
        <f>Rf!B19</f>
        <v>7.1250000000000003E-3</v>
      </c>
    </row>
    <row r="20" spans="1:9" x14ac:dyDescent="0.35">
      <c r="A20" s="1">
        <v>43678</v>
      </c>
      <c r="B20" s="11">
        <f>'Data Ri Aset'!B20</f>
        <v>-9.7065957280337602E-3</v>
      </c>
      <c r="C20" s="11">
        <f>'Data Ri Aset'!C20</f>
        <v>6.3708443455278999E-2</v>
      </c>
      <c r="D20" s="11">
        <f>'Data Ri Aset'!D20</f>
        <v>-3.2529140688533479E-3</v>
      </c>
      <c r="E20" s="11">
        <f>'Data Ri Aset'!E20</f>
        <v>-4.83634199563579E-2</v>
      </c>
      <c r="F20" s="17">
        <f>'Data Makro Bulanan'!D20</f>
        <v>1.5043490660202481E-2</v>
      </c>
      <c r="G20" s="17">
        <f>'Data Makro Bulanan'!G20</f>
        <v>5.1204819277108439E-2</v>
      </c>
      <c r="H20" s="17">
        <f>'Data Makro Bulanan'!J20</f>
        <v>4.5833333333333334E-3</v>
      </c>
      <c r="I20" s="12">
        <f>Rf!B20</f>
        <v>6.9166666666666673E-3</v>
      </c>
    </row>
    <row r="21" spans="1:9" x14ac:dyDescent="0.35">
      <c r="A21" s="1">
        <v>43709</v>
      </c>
      <c r="B21" s="11">
        <f>'Data Ri Aset'!B21</f>
        <v>-2.5183022120670539E-2</v>
      </c>
      <c r="C21" s="11">
        <f>'Data Ri Aset'!C21</f>
        <v>-3.2561788936838094E-2</v>
      </c>
      <c r="D21" s="11">
        <f>'Data Ri Aset'!D21</f>
        <v>-7.8868642915420183E-3</v>
      </c>
      <c r="E21" s="11">
        <f>'Data Ri Aset'!E21</f>
        <v>-0.13654840323522058</v>
      </c>
      <c r="F21" s="17">
        <f>'Data Makro Bulanan'!D21</f>
        <v>-4.4250895553838588E-3</v>
      </c>
      <c r="G21" s="17">
        <f>'Data Makro Bulanan'!G21</f>
        <v>-2.8653295128939854E-2</v>
      </c>
      <c r="H21" s="17">
        <f>'Data Makro Bulanan'!J21</f>
        <v>4.3749999999999995E-3</v>
      </c>
      <c r="I21" s="12">
        <f>Rf!B21</f>
        <v>6.9166666666666673E-3</v>
      </c>
    </row>
    <row r="22" spans="1:9" x14ac:dyDescent="0.35">
      <c r="A22" s="1">
        <v>43739</v>
      </c>
      <c r="B22" s="11">
        <f>'Data Ri Aset'!B22</f>
        <v>9.599455350050955E-3</v>
      </c>
      <c r="C22" s="11">
        <f>'Data Ri Aset'!C22</f>
        <v>2.8521221951878919E-2</v>
      </c>
      <c r="D22" s="11">
        <f>'Data Ri Aset'!D22</f>
        <v>-3.9884868421052634E-2</v>
      </c>
      <c r="E22" s="11">
        <f>'Data Ri Aset'!E22</f>
        <v>0.10481271803290576</v>
      </c>
      <c r="F22" s="17">
        <f>'Data Makro Bulanan'!D22</f>
        <v>-1.1711584591505574E-2</v>
      </c>
      <c r="G22" s="17">
        <f>'Data Makro Bulanan'!G22</f>
        <v>-7.6696165191740356E-2</v>
      </c>
      <c r="H22" s="17">
        <f>'Data Makro Bulanan'!J22</f>
        <v>4.1666666666666666E-3</v>
      </c>
      <c r="I22" s="12">
        <f>Rf!B22</f>
        <v>6.9166666666666673E-3</v>
      </c>
    </row>
    <row r="23" spans="1:9" x14ac:dyDescent="0.35">
      <c r="A23" s="1">
        <v>43770</v>
      </c>
      <c r="B23" s="11">
        <f>'Data Ri Aset'!B23</f>
        <v>-3.4758971921802315E-2</v>
      </c>
      <c r="C23" s="11">
        <f>'Data Ri Aset'!C23</f>
        <v>-2.8715994217374193E-2</v>
      </c>
      <c r="D23" s="11">
        <f>'Data Ri Aset'!D23</f>
        <v>9.8501070663811561E-3</v>
      </c>
      <c r="E23" s="11">
        <f>'Data Ri Aset'!E23</f>
        <v>-0.17546926556388348</v>
      </c>
      <c r="F23" s="17">
        <f>'Data Makro Bulanan'!D23</f>
        <v>6.7104511707595663E-3</v>
      </c>
      <c r="G23" s="17">
        <f>'Data Makro Bulanan'!G23</f>
        <v>-4.1533546325878676E-2</v>
      </c>
      <c r="H23" s="17">
        <f>'Data Makro Bulanan'!J23</f>
        <v>4.1666666666666666E-3</v>
      </c>
      <c r="I23" s="12">
        <f>Rf!B23</f>
        <v>6.2916666666666668E-3</v>
      </c>
    </row>
    <row r="24" spans="1:9" x14ac:dyDescent="0.35">
      <c r="A24" s="1">
        <v>43800</v>
      </c>
      <c r="B24" s="11">
        <f>'Data Ri Aset'!B24</f>
        <v>4.7857308007711472E-2</v>
      </c>
      <c r="C24" s="11">
        <f>'Data Ri Aset'!C24</f>
        <v>3.4639063662810395E-2</v>
      </c>
      <c r="D24" s="11">
        <f>'Data Ri Aset'!D24</f>
        <v>-3.8167938931297708E-3</v>
      </c>
      <c r="E24" s="11">
        <f>'Data Ri Aset'!E24</f>
        <v>-4.6405003577770214E-2</v>
      </c>
      <c r="F24" s="17">
        <f>'Data Makro Bulanan'!D24</f>
        <v>-1.4253297404623458E-2</v>
      </c>
      <c r="G24" s="17">
        <f>'Data Makro Bulanan'!G24</f>
        <v>-9.333333333333324E-2</v>
      </c>
      <c r="H24" s="17">
        <f>'Data Makro Bulanan'!J24</f>
        <v>4.1666666666666666E-3</v>
      </c>
      <c r="I24" s="12">
        <f>Rf!B24</f>
        <v>6.2916666666666668E-3</v>
      </c>
    </row>
    <row r="25" spans="1:9" x14ac:dyDescent="0.35">
      <c r="A25" s="1">
        <v>43831</v>
      </c>
      <c r="B25" s="11">
        <f>'Data Ri Aset'!B25</f>
        <v>-5.7066071490934227E-2</v>
      </c>
      <c r="C25" s="11">
        <f>'Data Ri Aset'!C25</f>
        <v>4.2176159027005819E-2</v>
      </c>
      <c r="D25" s="11">
        <f>'Data Ri Aset'!D25</f>
        <v>-5.7045551298424861E-2</v>
      </c>
      <c r="E25" s="11">
        <f>'Data Ri Aset'!E25</f>
        <v>0.29913567895058651</v>
      </c>
      <c r="F25" s="17">
        <f>'Data Makro Bulanan'!D25</f>
        <v>-1.7193007697287963E-2</v>
      </c>
      <c r="G25" s="17">
        <f>'Data Makro Bulanan'!G25</f>
        <v>-1.4705882352941214E-2</v>
      </c>
      <c r="H25" s="17">
        <f>'Data Makro Bulanan'!J25</f>
        <v>4.1666666666666666E-3</v>
      </c>
      <c r="I25" s="12">
        <f>Rf!B25</f>
        <v>6.2916666666666668E-3</v>
      </c>
    </row>
    <row r="26" spans="1:9" x14ac:dyDescent="0.35">
      <c r="A26" s="1">
        <v>43862</v>
      </c>
      <c r="B26" s="11">
        <f>'Data Ri Aset'!B26</f>
        <v>-8.2044763932963588E-2</v>
      </c>
      <c r="C26" s="11">
        <f>'Data Ri Aset'!C26</f>
        <v>-1.3803488518007279E-2</v>
      </c>
      <c r="D26" s="11">
        <f>'Data Ri Aset'!D26</f>
        <v>3.6418359668924004E-2</v>
      </c>
      <c r="E26" s="11">
        <f>'Data Ri Aset'!E26</f>
        <v>-8.614732968948878E-2</v>
      </c>
      <c r="F26" s="17">
        <f>'Data Makro Bulanan'!D26</f>
        <v>4.1867954911433171E-2</v>
      </c>
      <c r="G26" s="17">
        <f>'Data Makro Bulanan'!G26</f>
        <v>0.11194029850746265</v>
      </c>
      <c r="H26" s="17">
        <f>'Data Makro Bulanan'!J26</f>
        <v>3.9583333333333337E-3</v>
      </c>
      <c r="I26" s="12">
        <f>Rf!B26</f>
        <v>6.2916666666666668E-3</v>
      </c>
    </row>
    <row r="27" spans="1:9" x14ac:dyDescent="0.35">
      <c r="A27" s="1">
        <v>43891</v>
      </c>
      <c r="B27" s="11">
        <f>'Data Ri Aset'!B27</f>
        <v>8.4189999999999994E-3</v>
      </c>
      <c r="C27" s="11">
        <f>'Data Ri Aset'!C27</f>
        <v>1.5778088815370885E-2</v>
      </c>
      <c r="D27" s="11">
        <f>'Data Ri Aset'!D27</f>
        <v>1.24E-3</v>
      </c>
      <c r="E27" s="11">
        <f>'Data Ri Aset'!E27</f>
        <v>-0.24944696091857163</v>
      </c>
      <c r="F27" s="17">
        <f>'Data Makro Bulanan'!D27</f>
        <v>0.14985246592665449</v>
      </c>
      <c r="G27" s="17">
        <f>'Data Makro Bulanan'!G27</f>
        <v>-6.7114093959731135E-3</v>
      </c>
      <c r="H27" s="17">
        <f>'Data Makro Bulanan'!J27</f>
        <v>3.7499999999999999E-3</v>
      </c>
      <c r="I27" s="12">
        <f>Rf!B27</f>
        <v>5.2500000000000003E-3</v>
      </c>
    </row>
    <row r="28" spans="1:9" x14ac:dyDescent="0.35">
      <c r="A28" s="1">
        <v>43922</v>
      </c>
      <c r="B28" s="11">
        <f>'Data Ri Aset'!B28</f>
        <v>3.9099523455968552E-2</v>
      </c>
      <c r="C28" s="11">
        <f>'Data Ri Aset'!C28</f>
        <v>6.5388951521984276E-2</v>
      </c>
      <c r="D28" s="11">
        <f>'Data Ri Aset'!D28</f>
        <v>-1.8970532439610472E-3</v>
      </c>
      <c r="E28" s="11">
        <f>'Data Ri Aset'!E28</f>
        <v>0.3456530214424951</v>
      </c>
      <c r="F28" s="17">
        <f>'Data Makro Bulanan'!D28</f>
        <v>-7.3929247876825324E-2</v>
      </c>
      <c r="G28" s="17">
        <f>'Data Makro Bulanan'!G28</f>
        <v>-9.7972972972973082E-2</v>
      </c>
      <c r="H28" s="17">
        <f>'Data Makro Bulanan'!J28</f>
        <v>3.7499999999999999E-3</v>
      </c>
      <c r="I28" s="12">
        <f>Rf!B28</f>
        <v>5.2500000000000003E-3</v>
      </c>
    </row>
    <row r="29" spans="1:9" x14ac:dyDescent="0.35">
      <c r="A29" s="1">
        <v>43952</v>
      </c>
      <c r="B29" s="11">
        <f>'Data Ri Aset'!B29</f>
        <v>7.8894919854126111E-3</v>
      </c>
      <c r="C29" s="11">
        <f>'Data Ri Aset'!C29</f>
        <v>3.5097001763668458E-2</v>
      </c>
      <c r="D29" s="11">
        <f>'Data Ri Aset'!D29</f>
        <v>-6.9944247339077545E-2</v>
      </c>
      <c r="E29" s="11">
        <f>'Data Ri Aset'!E29</f>
        <v>9.5700544674933274E-2</v>
      </c>
      <c r="F29" s="17">
        <f>'Data Makro Bulanan'!D29</f>
        <v>-2.7973873457808274E-2</v>
      </c>
      <c r="G29" s="17">
        <f>'Data Makro Bulanan'!G29</f>
        <v>-0.17977528089887637</v>
      </c>
      <c r="H29" s="17">
        <f>'Data Makro Bulanan'!J29</f>
        <v>3.7499999999999999E-3</v>
      </c>
      <c r="I29" s="12">
        <f>Rf!B29</f>
        <v>5.2500000000000003E-3</v>
      </c>
    </row>
    <row r="30" spans="1:9" x14ac:dyDescent="0.35">
      <c r="A30" s="1">
        <v>43983</v>
      </c>
      <c r="B30" s="11">
        <f>'Data Ri Aset'!B30</f>
        <v>3.1929417852958206E-2</v>
      </c>
      <c r="C30" s="11">
        <f>'Data Ri Aset'!C30</f>
        <v>2.8000227182370621E-2</v>
      </c>
      <c r="D30" s="11">
        <f>'Data Ri Aset'!D30</f>
        <v>-1.7029972752043598E-2</v>
      </c>
      <c r="E30" s="11">
        <f>'Data Ri Aset'!E30</f>
        <v>-3.3781782798155399E-2</v>
      </c>
      <c r="F30" s="17">
        <f>'Data Makro Bulanan'!D30</f>
        <v>-2.9254055521618135E-2</v>
      </c>
      <c r="G30" s="17">
        <f>'Data Makro Bulanan'!G30</f>
        <v>-0.10502283105022832</v>
      </c>
      <c r="H30" s="17">
        <f>'Data Makro Bulanan'!J30</f>
        <v>3.5416666666666669E-3</v>
      </c>
      <c r="I30" s="12">
        <f>Rf!B30</f>
        <v>5.2500000000000003E-3</v>
      </c>
    </row>
    <row r="31" spans="1:9" x14ac:dyDescent="0.35">
      <c r="A31" s="1">
        <v>44013</v>
      </c>
      <c r="B31" s="11">
        <f>'Data Ri Aset'!B31</f>
        <v>4.9790128817484396E-2</v>
      </c>
      <c r="C31" s="11">
        <f>'Data Ri Aset'!C31</f>
        <v>9.7182320441989004E-2</v>
      </c>
      <c r="D31" s="11">
        <f>'Data Ri Aset'!D31</f>
        <v>-5.4054054054054057E-2</v>
      </c>
      <c r="E31" s="11">
        <f>'Data Ri Aset'!E31</f>
        <v>0.24060249140705389</v>
      </c>
      <c r="F31" s="17">
        <f>'Data Makro Bulanan'!D31</f>
        <v>2.4542022094811915E-2</v>
      </c>
      <c r="G31" s="17">
        <f>'Data Makro Bulanan'!G31</f>
        <v>-0.21428571428571425</v>
      </c>
      <c r="H31" s="17">
        <f>'Data Makro Bulanan'!J31</f>
        <v>3.3333333333333335E-3</v>
      </c>
      <c r="I31" s="12">
        <f>Rf!B31</f>
        <v>5.2500000000000003E-3</v>
      </c>
    </row>
    <row r="32" spans="1:9" x14ac:dyDescent="0.35">
      <c r="A32" s="1">
        <v>44044</v>
      </c>
      <c r="B32" s="11">
        <f>'Data Ri Aset'!B32</f>
        <v>1.7255608655379059E-2</v>
      </c>
      <c r="C32" s="11">
        <f>'Data Ri Aset'!C32</f>
        <v>-3.6759152021754275E-3</v>
      </c>
      <c r="D32" s="11">
        <f>'Data Ri Aset'!D32</f>
        <v>5.7142857142857143E-3</v>
      </c>
      <c r="E32" s="11">
        <f>'Data Ri Aset'!E32</f>
        <v>2.7423368097834817E-2</v>
      </c>
      <c r="F32" s="17">
        <f>'Data Makro Bulanan'!D32</f>
        <v>-6.7562956391182694E-3</v>
      </c>
      <c r="G32" s="17">
        <f>'Data Makro Bulanan'!G32</f>
        <v>-0.14285714285714288</v>
      </c>
      <c r="H32" s="17">
        <f>'Data Makro Bulanan'!J32</f>
        <v>3.3333333333333335E-3</v>
      </c>
      <c r="I32" s="12">
        <f>Rf!B32</f>
        <v>5.2500000000000003E-3</v>
      </c>
    </row>
    <row r="33" spans="1:9" x14ac:dyDescent="0.35">
      <c r="A33" s="1">
        <v>44075</v>
      </c>
      <c r="B33" s="11">
        <f>'Data Ri Aset'!B33</f>
        <v>-7.0335153832497499E-2</v>
      </c>
      <c r="C33" s="11">
        <f>'Data Ri Aset'!C33</f>
        <v>-3.8410997675123827E-2</v>
      </c>
      <c r="D33" s="11">
        <f>'Data Ri Aset'!D33</f>
        <v>9.6153846153846159E-3</v>
      </c>
      <c r="E33" s="11">
        <f>'Data Ri Aset'!E33</f>
        <v>-7.4552137544872152E-2</v>
      </c>
      <c r="F33" s="17">
        <f>'Data Makro Bulanan'!D33</f>
        <v>2.5010306444963583E-2</v>
      </c>
      <c r="G33" s="17">
        <f>'Data Makro Bulanan'!G33</f>
        <v>7.575757575757569E-2</v>
      </c>
      <c r="H33" s="17">
        <f>'Data Makro Bulanan'!J33</f>
        <v>3.3333333333333335E-3</v>
      </c>
      <c r="I33" s="12">
        <f>Rf!B33</f>
        <v>5.2500000000000003E-3</v>
      </c>
    </row>
    <row r="34" spans="1:9" x14ac:dyDescent="0.35">
      <c r="A34" s="1">
        <v>44105</v>
      </c>
      <c r="B34" s="11">
        <f>'Data Ri Aset'!B34</f>
        <v>5.3015991655099258E-2</v>
      </c>
      <c r="C34" s="11">
        <f>'Data Ri Aset'!C34</f>
        <v>-8.09418690213385E-3</v>
      </c>
      <c r="D34" s="11">
        <f>'Data Ri Aset'!D34</f>
        <v>-4.6320346320346317E-2</v>
      </c>
      <c r="E34" s="11">
        <f>'Data Ri Aset'!E34</f>
        <v>0.28036116962537455</v>
      </c>
      <c r="F34" s="17">
        <f>'Data Makro Bulanan'!D34</f>
        <v>-1.5283550073736427E-2</v>
      </c>
      <c r="G34" s="17">
        <f>'Data Makro Bulanan'!G34</f>
        <v>1.408450704225356E-2</v>
      </c>
      <c r="H34" s="17">
        <f>'Data Makro Bulanan'!J34</f>
        <v>3.3333333333333335E-3</v>
      </c>
      <c r="I34" s="12">
        <f>Rf!B34</f>
        <v>5.2500000000000003E-3</v>
      </c>
    </row>
    <row r="35" spans="1:9" x14ac:dyDescent="0.35">
      <c r="A35" s="1">
        <v>44136</v>
      </c>
      <c r="B35" s="11">
        <f>'Data Ri Aset'!B35</f>
        <v>9.4416592079528516E-2</v>
      </c>
      <c r="C35" s="11">
        <f>'Data Ri Aset'!C35</f>
        <v>-5.4260279779567662E-2</v>
      </c>
      <c r="D35" s="11">
        <f>'Data Ri Aset'!D35</f>
        <v>-6.3701013769102741E-2</v>
      </c>
      <c r="E35" s="11">
        <f>'Data Ri Aset'!E35</f>
        <v>0.42767787900531262</v>
      </c>
      <c r="F35" s="17">
        <f>'Data Makro Bulanan'!D35</f>
        <v>-3.82573179033356E-2</v>
      </c>
      <c r="G35" s="17">
        <f>'Data Makro Bulanan'!G35</f>
        <v>0.10416666666666677</v>
      </c>
      <c r="H35" s="17">
        <f>'Data Makro Bulanan'!J35</f>
        <v>3.1249999999999997E-3</v>
      </c>
      <c r="I35" s="12">
        <f>Rf!B35</f>
        <v>5.2500000000000003E-3</v>
      </c>
    </row>
    <row r="36" spans="1:9" x14ac:dyDescent="0.35">
      <c r="A36" s="1">
        <v>44166</v>
      </c>
      <c r="B36" s="11">
        <f>'Data Ri Aset'!B36</f>
        <v>6.5328325392611325E-2</v>
      </c>
      <c r="C36" s="11">
        <f>'Data Ri Aset'!C36</f>
        <v>6.4320932317346452E-2</v>
      </c>
      <c r="D36" s="11">
        <f>'Data Ri Aset'!D36</f>
        <v>-3.9754363283775046E-2</v>
      </c>
      <c r="E36" s="11">
        <f>'Data Ri Aset'!E36</f>
        <v>0.46965443367634457</v>
      </c>
      <c r="F36" s="17">
        <f>'Data Makro Bulanan'!D36</f>
        <v>-1.6279728199320499E-3</v>
      </c>
      <c r="G36" s="17">
        <f>'Data Makro Bulanan'!G36</f>
        <v>5.660377358490553E-2</v>
      </c>
      <c r="H36" s="17">
        <f>'Data Makro Bulanan'!J36</f>
        <v>3.1249999999999997E-3</v>
      </c>
      <c r="I36" s="12">
        <f>Rf!B36</f>
        <v>5.2500000000000003E-3</v>
      </c>
    </row>
    <row r="37" spans="1:9" x14ac:dyDescent="0.35">
      <c r="A37" s="1">
        <v>44197</v>
      </c>
      <c r="B37" s="11">
        <f>'Data Ri Aset'!B37</f>
        <v>-1.9521430590375987E-2</v>
      </c>
      <c r="C37" s="11">
        <f>'Data Ri Aset'!C37</f>
        <v>-2.46894082964834E-2</v>
      </c>
      <c r="D37" s="11">
        <f>'Data Ri Aset'!D37</f>
        <v>5.3012453719286437E-2</v>
      </c>
      <c r="E37" s="11">
        <f>'Data Ri Aset'!E37</f>
        <v>0.14365409991226061</v>
      </c>
      <c r="F37" s="17">
        <f>'Data Makro Bulanan'!D37</f>
        <v>-1.488833746898263E-3</v>
      </c>
      <c r="G37" s="17">
        <f>'Data Makro Bulanan'!G37</f>
        <v>-7.7380952380952328E-2</v>
      </c>
      <c r="H37" s="17">
        <f>'Data Makro Bulanan'!J37</f>
        <v>3.1249999999999997E-3</v>
      </c>
      <c r="I37" s="12">
        <f>Rf!B37</f>
        <v>5.2500000000000003E-3</v>
      </c>
    </row>
    <row r="38" spans="1:9" x14ac:dyDescent="0.35">
      <c r="A38" s="1">
        <v>44228</v>
      </c>
      <c r="B38" s="11">
        <f>'Data Ri Aset'!B38</f>
        <v>6.4726602812865117E-2</v>
      </c>
      <c r="C38" s="11">
        <f>'Data Ri Aset'!C38</f>
        <v>-6.5364063259027438E-2</v>
      </c>
      <c r="D38" s="11">
        <f>'Data Ri Aset'!D38</f>
        <v>5.4498961163496881E-2</v>
      </c>
      <c r="E38" s="11">
        <f>'Data Ri Aset'!E38</f>
        <v>0.36413747693162707</v>
      </c>
      <c r="F38" s="17">
        <f>'Data Makro Bulanan'!D38</f>
        <v>1.02953706333428E-2</v>
      </c>
      <c r="G38" s="17">
        <f>'Data Makro Bulanan'!G38</f>
        <v>-0.10967741935483871</v>
      </c>
      <c r="H38" s="17">
        <f>'Data Makro Bulanan'!J38</f>
        <v>2.9166666666666668E-3</v>
      </c>
      <c r="I38" s="12">
        <f>Rf!B38</f>
        <v>5.2500000000000003E-3</v>
      </c>
    </row>
    <row r="39" spans="1:9" x14ac:dyDescent="0.35">
      <c r="A39" s="1">
        <v>44256</v>
      </c>
      <c r="B39" s="11">
        <f>'Data Ri Aset'!B39</f>
        <v>-4.1058668973693445E-2</v>
      </c>
      <c r="C39" s="11">
        <f>'Data Ri Aset'!C39</f>
        <v>-8.14275814275809E-3</v>
      </c>
      <c r="D39" s="11">
        <f>'Data Ri Aset'!D39</f>
        <v>3.2737193088814794E-2</v>
      </c>
      <c r="E39" s="11">
        <f>'Data Ri Aset'!E39</f>
        <v>0.3011181471968824</v>
      </c>
      <c r="F39" s="17">
        <f>'Data Makro Bulanan'!D39</f>
        <v>2.4105699627521258E-2</v>
      </c>
      <c r="G39" s="17">
        <f>'Data Makro Bulanan'!G39</f>
        <v>-7.2463768115941588E-3</v>
      </c>
      <c r="H39" s="17">
        <f>'Data Makro Bulanan'!J39</f>
        <v>2.9166666666666668E-3</v>
      </c>
      <c r="I39" s="12">
        <f>Rf!B39</f>
        <v>5.2500000000000003E-3</v>
      </c>
    </row>
    <row r="40" spans="1:9" x14ac:dyDescent="0.35">
      <c r="A40" s="1">
        <v>44287</v>
      </c>
      <c r="B40" s="11">
        <f>'Data Ri Aset'!B40</f>
        <v>1.6874056055279163E-3</v>
      </c>
      <c r="C40" s="11">
        <f>'Data Ri Aset'!C40</f>
        <v>3.0451237263464312E-2</v>
      </c>
      <c r="D40" s="11">
        <f>'Data Ri Aset'!D40</f>
        <v>-4.960375697094218E-2</v>
      </c>
      <c r="E40" s="11">
        <f>'Data Ri Aset'!E40</f>
        <v>-1.7755859484681773E-2</v>
      </c>
      <c r="F40" s="17">
        <f>'Data Makro Bulanan'!D40</f>
        <v>-7.1369750205874279E-3</v>
      </c>
      <c r="G40" s="17">
        <f>'Data Makro Bulanan'!G40</f>
        <v>3.6496350364963411E-2</v>
      </c>
      <c r="H40" s="17">
        <f>'Data Makro Bulanan'!J40</f>
        <v>2.9166666666666668E-3</v>
      </c>
      <c r="I40" s="12">
        <f>Rf!B40</f>
        <v>5.2500000000000003E-3</v>
      </c>
    </row>
    <row r="41" spans="1:9" x14ac:dyDescent="0.35">
      <c r="A41" s="1">
        <v>44317</v>
      </c>
      <c r="B41" s="11">
        <f>'Data Ri Aset'!B41</f>
        <v>-8.0325304138687669E-3</v>
      </c>
      <c r="C41" s="11">
        <f>'Data Ri Aset'!C41</f>
        <v>7.7466380381964142E-2</v>
      </c>
      <c r="D41" s="11">
        <f>'Data Ri Aset'!D41</f>
        <v>-4.7869054972205062E-3</v>
      </c>
      <c r="E41" s="11">
        <f>'Data Ri Aset'!E41</f>
        <v>-0.35380446740574811</v>
      </c>
      <c r="F41" s="17">
        <f>'Data Makro Bulanan'!D41</f>
        <v>-1.0920652474426321E-2</v>
      </c>
      <c r="G41" s="17">
        <f>'Data Makro Bulanan'!G41</f>
        <v>0.18309859154929578</v>
      </c>
      <c r="H41" s="17">
        <f>'Data Makro Bulanan'!J41</f>
        <v>2.9166666666666668E-3</v>
      </c>
      <c r="I41" s="12">
        <f>Rf!B41</f>
        <v>5.2500000000000003E-3</v>
      </c>
    </row>
    <row r="42" spans="1:9" x14ac:dyDescent="0.35">
      <c r="A42" s="1">
        <v>44348</v>
      </c>
      <c r="B42" s="11">
        <f>'Data Ri Aset'!B42</f>
        <v>6.3943263174531216E-3</v>
      </c>
      <c r="C42" s="11">
        <f>'Data Ri Aset'!C42</f>
        <v>-6.9956473858094337E-2</v>
      </c>
      <c r="D42" s="11">
        <f>'Data Ri Aset'!D42</f>
        <v>2.8704422032583398E-2</v>
      </c>
      <c r="E42" s="11">
        <f>'Data Ri Aset'!E42</f>
        <v>-6.0905771262192071E-2</v>
      </c>
      <c r="F42" s="17">
        <f>'Data Makro Bulanan'!D42</f>
        <v>1.29979035639413E-2</v>
      </c>
      <c r="G42" s="17">
        <f>'Data Makro Bulanan'!G42</f>
        <v>-0.20833333333333323</v>
      </c>
      <c r="H42" s="17">
        <f>'Data Makro Bulanan'!J42</f>
        <v>2.9166666666666668E-3</v>
      </c>
      <c r="I42" s="12">
        <f>Rf!B42</f>
        <v>5.2500000000000003E-3</v>
      </c>
    </row>
    <row r="43" spans="1:9" x14ac:dyDescent="0.35">
      <c r="A43" s="1">
        <v>44378</v>
      </c>
      <c r="B43" s="11">
        <f>'Data Ri Aset'!B43</f>
        <v>1.4125827626476727E-2</v>
      </c>
      <c r="C43" s="11">
        <f>'Data Ri Aset'!C43</f>
        <v>2.464054130250919E-2</v>
      </c>
      <c r="D43" s="11">
        <f>'Data Ri Aset'!D43</f>
        <v>-4.8717948717948718E-2</v>
      </c>
      <c r="E43" s="11">
        <f>'Data Ri Aset'!E43</f>
        <v>0.18633678686952015</v>
      </c>
      <c r="F43" s="17">
        <f>'Data Makro Bulanan'!D43</f>
        <v>-3.4492273730684329E-4</v>
      </c>
      <c r="G43" s="17">
        <f>'Data Makro Bulanan'!G43</f>
        <v>0.14285714285714277</v>
      </c>
      <c r="H43" s="17">
        <f>'Data Makro Bulanan'!J43</f>
        <v>2.9166666666666668E-3</v>
      </c>
      <c r="I43" s="12">
        <f>Rf!B43</f>
        <v>5.2500000000000003E-3</v>
      </c>
    </row>
    <row r="44" spans="1:9" x14ac:dyDescent="0.35">
      <c r="A44" s="1">
        <v>44409</v>
      </c>
      <c r="B44" s="11">
        <f>'Data Ri Aset'!B44</f>
        <v>1.3222318139583959E-2</v>
      </c>
      <c r="C44" s="11">
        <f>'Data Ri Aset'!C44</f>
        <v>4.9526744441991176E-4</v>
      </c>
      <c r="D44" s="11">
        <f>'Data Ri Aset'!D44</f>
        <v>-3.6467417155541464E-2</v>
      </c>
      <c r="E44" s="11">
        <f>'Data Ri Aset'!E44</f>
        <v>0.13420465566243209</v>
      </c>
      <c r="F44" s="17">
        <f>'Data Makro Bulanan'!D44</f>
        <v>-8.0739769512110961E-3</v>
      </c>
      <c r="G44" s="17">
        <f>'Data Makro Bulanan'!G44</f>
        <v>4.6052631578947435E-2</v>
      </c>
      <c r="H44" s="17">
        <f>'Data Makro Bulanan'!J44</f>
        <v>2.9166666666666668E-3</v>
      </c>
      <c r="I44" s="12">
        <f>Rf!B44</f>
        <v>5.2500000000000003E-3</v>
      </c>
    </row>
    <row r="45" spans="1:9" x14ac:dyDescent="0.35">
      <c r="A45" s="1">
        <v>44440</v>
      </c>
      <c r="B45" s="11">
        <f>'Data Ri Aset'!B45</f>
        <v>2.2216802432401577E-2</v>
      </c>
      <c r="C45" s="11">
        <f>'Data Ri Aset'!C45</f>
        <v>-3.278147516638244E-2</v>
      </c>
      <c r="D45" s="11">
        <f>'Data Ri Aset'!D45</f>
        <v>4.5417146618397235E-2</v>
      </c>
      <c r="E45" s="11">
        <f>'Data Ri Aset'!E45</f>
        <v>-7.0169147726308251E-2</v>
      </c>
      <c r="F45" s="17">
        <f>'Data Makro Bulanan'!D45</f>
        <v>-4.6611938221789344E-3</v>
      </c>
      <c r="G45" s="17">
        <f>'Data Makro Bulanan'!G45</f>
        <v>6.2893081761005902E-3</v>
      </c>
      <c r="H45" s="17">
        <f>'Data Makro Bulanan'!J45</f>
        <v>2.9166666666666668E-3</v>
      </c>
      <c r="I45" s="12">
        <f>Rf!B45</f>
        <v>5.2500000000000003E-3</v>
      </c>
    </row>
    <row r="46" spans="1:9" x14ac:dyDescent="0.35">
      <c r="A46" s="1">
        <v>44470</v>
      </c>
      <c r="B46" s="11">
        <f>'Data Ri Aset'!B46</f>
        <v>4.8419421849103188E-2</v>
      </c>
      <c r="C46" s="11">
        <f>'Data Ri Aset'!C46</f>
        <v>1.5581461472846227E-2</v>
      </c>
      <c r="D46" s="11">
        <f>'Data Ri Aset'!D46</f>
        <v>-2.8962694789863058E-2</v>
      </c>
      <c r="E46" s="11">
        <f>'Data Ri Aset'!E46</f>
        <v>0.39901833043152829</v>
      </c>
      <c r="F46" s="17">
        <f>'Data Makro Bulanan'!D46</f>
        <v>-7.5487523589851122E-3</v>
      </c>
      <c r="G46" s="17">
        <f>'Data Makro Bulanan'!G46</f>
        <v>3.7499999999999992E-2</v>
      </c>
      <c r="H46" s="17">
        <f>'Data Makro Bulanan'!J46</f>
        <v>2.9166666666666668E-3</v>
      </c>
      <c r="I46" s="12">
        <f>Rf!B46</f>
        <v>5.2500000000000003E-3</v>
      </c>
    </row>
    <row r="47" spans="1:9" x14ac:dyDescent="0.35">
      <c r="A47" s="1">
        <v>44501</v>
      </c>
      <c r="B47" s="11">
        <f>'Data Ri Aset'!B47</f>
        <v>-8.7114172362262772E-3</v>
      </c>
      <c r="C47" s="11">
        <f>'Data Ri Aset'!C47</f>
        <v>-4.2555574220281851E-3</v>
      </c>
      <c r="D47" s="11">
        <f>'Data Ri Aset'!D47</f>
        <v>1.5885881017993191E-2</v>
      </c>
      <c r="E47" s="11">
        <f>'Data Ri Aset'!E47</f>
        <v>-7.2202395709644124E-2</v>
      </c>
      <c r="F47" s="17">
        <f>'Data Makro Bulanan'!D47</f>
        <v>9.9302767800549339E-3</v>
      </c>
      <c r="G47" s="17">
        <f>'Data Makro Bulanan'!G47</f>
        <v>5.4216867469879609E-2</v>
      </c>
      <c r="H47" s="17">
        <f>'Data Makro Bulanan'!J47</f>
        <v>2.9166666666666668E-3</v>
      </c>
      <c r="I47" s="12">
        <f>Rf!B47</f>
        <v>5.2500000000000003E-3</v>
      </c>
    </row>
    <row r="48" spans="1:9" x14ac:dyDescent="0.35">
      <c r="A48" s="1">
        <v>44531</v>
      </c>
      <c r="B48" s="11">
        <f>'Data Ri Aset'!B48</f>
        <v>7.2773966051058502E-3</v>
      </c>
      <c r="C48" s="11">
        <f>'Data Ri Aset'!C48</f>
        <v>2.9635044705617751E-2</v>
      </c>
      <c r="D48" s="11">
        <f>'Data Ri Aset'!D48</f>
        <v>1.6116164033827988E-2</v>
      </c>
      <c r="E48" s="11">
        <f>'Data Ri Aset'!E48</f>
        <v>-0.18746231292708357</v>
      </c>
      <c r="F48" s="17">
        <f>'Data Makro Bulanan'!D48</f>
        <v>-4.9511854951185498E-3</v>
      </c>
      <c r="G48" s="17">
        <f>'Data Makro Bulanan'!G48</f>
        <v>6.8571428571428547E-2</v>
      </c>
      <c r="H48" s="17">
        <f>'Data Makro Bulanan'!J48</f>
        <v>2.9166666666666668E-3</v>
      </c>
      <c r="I48" s="12">
        <f>Rf!B48</f>
        <v>5.2500000000000003E-3</v>
      </c>
    </row>
    <row r="49" spans="1:9" x14ac:dyDescent="0.35">
      <c r="A49" s="1">
        <v>44562</v>
      </c>
      <c r="B49" s="11">
        <f>'Data Ri Aset'!B49</f>
        <v>7.5469347320055785E-3</v>
      </c>
      <c r="C49" s="11">
        <f>'Data Ri Aset'!C49</f>
        <v>-1.7367558711086813E-2</v>
      </c>
      <c r="D49" s="11">
        <f>'Data Ri Aset'!D49</f>
        <v>1.2719849246231155E-2</v>
      </c>
      <c r="E49" s="11">
        <f>'Data Ri Aset'!E49</f>
        <v>-0.16704854011834835</v>
      </c>
      <c r="F49" s="17">
        <f>'Data Makro Bulanan'!D49</f>
        <v>7.849183544747354E-3</v>
      </c>
      <c r="G49" s="17">
        <f>'Data Makro Bulanan'!G49</f>
        <v>0.16577540106951863</v>
      </c>
      <c r="H49" s="17">
        <f>'Data Makro Bulanan'!J49</f>
        <v>2.9166666666666668E-3</v>
      </c>
      <c r="I49" s="12">
        <f>Rf!B49</f>
        <v>5.2500000000000003E-3</v>
      </c>
    </row>
    <row r="50" spans="1:9" x14ac:dyDescent="0.35">
      <c r="A50" s="1">
        <v>44593</v>
      </c>
      <c r="B50" s="11">
        <f>'Data Ri Aset'!B50</f>
        <v>3.8759491189311122E-2</v>
      </c>
      <c r="C50" s="11">
        <f>'Data Ri Aset'!C50</f>
        <v>5.8248110271231633E-2</v>
      </c>
      <c r="D50" s="11">
        <f>'Data Ri Aset'!D50</f>
        <v>9.4588308264847258E-3</v>
      </c>
      <c r="E50" s="11">
        <f>'Data Ri Aset'!E50</f>
        <v>0.12181222174312829</v>
      </c>
      <c r="F50" s="17">
        <f>'Data Makro Bulanan'!D50</f>
        <v>-6.9536193588762946E-4</v>
      </c>
      <c r="G50" s="17">
        <f>'Data Makro Bulanan'!G50</f>
        <v>-5.504587155963301E-2</v>
      </c>
      <c r="H50" s="17">
        <f>'Data Makro Bulanan'!J50</f>
        <v>2.9166666666666668E-3</v>
      </c>
      <c r="I50" s="12">
        <f>Rf!B50</f>
        <v>5.2500000000000003E-3</v>
      </c>
    </row>
    <row r="51" spans="1:9" x14ac:dyDescent="0.35">
      <c r="A51" s="1">
        <v>44621</v>
      </c>
      <c r="B51" s="11">
        <f>'Data Ri Aset'!B51</f>
        <v>2.6606486192994588E-2</v>
      </c>
      <c r="C51" s="11">
        <f>'Data Ri Aset'!C51</f>
        <v>2.9149159663865547E-2</v>
      </c>
      <c r="D51" s="11">
        <f>'Data Ri Aset'!D51</f>
        <v>3.6712749615975419E-2</v>
      </c>
      <c r="E51" s="11">
        <f>'Data Ri Aset'!E51</f>
        <v>5.4107371921034056E-2</v>
      </c>
      <c r="F51" s="17">
        <f>'Data Makro Bulanan'!D51</f>
        <v>-1.5308607612553057E-3</v>
      </c>
      <c r="G51" s="17">
        <f>'Data Makro Bulanan'!G51</f>
        <v>0.28155339805825241</v>
      </c>
      <c r="H51" s="17">
        <f>'Data Makro Bulanan'!J51</f>
        <v>2.9166666666666668E-3</v>
      </c>
      <c r="I51" s="12">
        <f>Rf!B51</f>
        <v>4.2499999999999994E-3</v>
      </c>
    </row>
    <row r="52" spans="1:9" x14ac:dyDescent="0.35">
      <c r="A52" s="1">
        <v>44652</v>
      </c>
      <c r="B52" s="11">
        <f>'Data Ri Aset'!B52</f>
        <v>2.2268448859072587E-2</v>
      </c>
      <c r="C52" s="11">
        <f>'Data Ri Aset'!C52</f>
        <v>-2.0872671599897981E-2</v>
      </c>
      <c r="D52" s="11">
        <f>'Data Ri Aset'!D52</f>
        <v>3.6894354719217662E-2</v>
      </c>
      <c r="E52" s="11">
        <f>'Data Ri Aset'!E52</f>
        <v>-0.17298187808896212</v>
      </c>
      <c r="F52" s="17">
        <f>'Data Makro Bulanan'!D52</f>
        <v>4.8086974702069834E-3</v>
      </c>
      <c r="G52" s="17">
        <f>'Data Makro Bulanan'!G52</f>
        <v>0.31439393939393945</v>
      </c>
      <c r="H52" s="17">
        <f>'Data Makro Bulanan'!J52</f>
        <v>2.9166666666666668E-3</v>
      </c>
      <c r="I52" s="12">
        <f>Rf!B52</f>
        <v>4.2499999999999994E-3</v>
      </c>
    </row>
    <row r="53" spans="1:9" x14ac:dyDescent="0.35">
      <c r="A53" s="1">
        <v>44682</v>
      </c>
      <c r="B53" s="11">
        <f>'Data Ri Aset'!B53</f>
        <v>-1.105837532906062E-2</v>
      </c>
      <c r="C53" s="11">
        <f>'Data Ri Aset'!C53</f>
        <v>-3.2471593870530571E-2</v>
      </c>
      <c r="D53" s="11">
        <f>'Data Ri Aset'!D53</f>
        <v>7.0020005715918836E-3</v>
      </c>
      <c r="E53" s="11">
        <f>'Data Ri Aset'!E53</f>
        <v>-0.15555378486055774</v>
      </c>
      <c r="F53" s="17">
        <f>'Data Makro Bulanan'!D53</f>
        <v>8.7390761548064924E-3</v>
      </c>
      <c r="G53" s="17">
        <f>'Data Makro Bulanan'!G53</f>
        <v>2.3054755043227525E-2</v>
      </c>
      <c r="H53" s="17">
        <f>'Data Makro Bulanan'!J53</f>
        <v>2.9166666666666668E-3</v>
      </c>
      <c r="I53" s="12">
        <f>Rf!B53</f>
        <v>4.2499999999999994E-3</v>
      </c>
    </row>
    <row r="54" spans="1:9" x14ac:dyDescent="0.35">
      <c r="A54" s="1">
        <v>44713</v>
      </c>
      <c r="B54" s="11">
        <f>'Data Ri Aset'!B54</f>
        <v>-3.3206182149316657E-2</v>
      </c>
      <c r="C54" s="11">
        <f>'Data Ri Aset'!C54</f>
        <v>-2.1548241124818186E-2</v>
      </c>
      <c r="D54" s="11">
        <f>'Data Ri Aset'!D54</f>
        <v>2.8664680005676173E-2</v>
      </c>
      <c r="E54" s="11">
        <f>'Data Ri Aset'!E54</f>
        <v>-0.37324727773688887</v>
      </c>
      <c r="F54" s="17">
        <f>'Data Makro Bulanan'!D54</f>
        <v>2.0902090209020903E-2</v>
      </c>
      <c r="G54" s="17">
        <f>'Data Makro Bulanan'!G54</f>
        <v>0.22535211267605637</v>
      </c>
      <c r="H54" s="17">
        <f>'Data Makro Bulanan'!J54</f>
        <v>2.9166666666666668E-3</v>
      </c>
      <c r="I54" s="12">
        <f>Rf!B54</f>
        <v>4.2499999999999994E-3</v>
      </c>
    </row>
    <row r="55" spans="1:9" x14ac:dyDescent="0.35">
      <c r="A55" s="1">
        <v>44743</v>
      </c>
      <c r="B55" s="11">
        <f>'Data Ri Aset'!B55</f>
        <v>5.7208337312163017E-3</v>
      </c>
      <c r="C55" s="11">
        <f>'Data Ri Aset'!C55</f>
        <v>-1.8994659472554094E-2</v>
      </c>
      <c r="D55" s="11">
        <f>'Data Ri Aset'!D55</f>
        <v>-7.1734032280314523E-3</v>
      </c>
      <c r="E55" s="11">
        <f>'Data Ri Aset'!E55</f>
        <v>0.16946192526572537</v>
      </c>
      <c r="F55" s="17">
        <f>'Data Makro Bulanan'!D55</f>
        <v>7.4084051724137932E-3</v>
      </c>
      <c r="G55" s="17">
        <f>'Data Makro Bulanan'!G55</f>
        <v>0.13563218390804621</v>
      </c>
      <c r="H55" s="17">
        <f>'Data Makro Bulanan'!J55</f>
        <v>2.9166666666666668E-3</v>
      </c>
      <c r="I55" s="12">
        <f>Rf!B55</f>
        <v>4.2499999999999994E-3</v>
      </c>
    </row>
    <row r="56" spans="1:9" x14ac:dyDescent="0.35">
      <c r="A56" s="1">
        <v>44774</v>
      </c>
      <c r="B56" s="11">
        <f>'Data Ri Aset'!B56</f>
        <v>3.2724222859050092E-2</v>
      </c>
      <c r="C56" s="11">
        <f>'Data Ri Aset'!C56</f>
        <v>-3.1204400044898366E-2</v>
      </c>
      <c r="D56" s="11">
        <f>'Data Ri Aset'!D56</f>
        <v>-1.1115742670557177E-2</v>
      </c>
      <c r="E56" s="11">
        <f>'Data Ri Aset'!E56</f>
        <v>-0.13987229331342207</v>
      </c>
      <c r="F56" s="17">
        <f>'Data Makro Bulanan'!D56</f>
        <v>-5.5488701698087981E-3</v>
      </c>
      <c r="G56" s="17">
        <f>'Data Makro Bulanan'!G56</f>
        <v>-5.0607287449392753E-2</v>
      </c>
      <c r="H56" s="17">
        <f>'Data Makro Bulanan'!J56</f>
        <v>3.1249999999999997E-3</v>
      </c>
      <c r="I56" s="12">
        <f>Rf!B56</f>
        <v>4.2499999999999994E-3</v>
      </c>
    </row>
    <row r="57" spans="1:9" x14ac:dyDescent="0.35">
      <c r="A57" s="1">
        <v>44805</v>
      </c>
      <c r="B57" s="11">
        <f>'Data Ri Aset'!B57</f>
        <v>-1.919457720805896E-2</v>
      </c>
      <c r="C57" s="11">
        <f>'Data Ri Aset'!C57</f>
        <v>-2.3925385239253825E-2</v>
      </c>
      <c r="D57" s="11">
        <f>'Data Ri Aset'!D57</f>
        <v>3.6953772657018408E-2</v>
      </c>
      <c r="E57" s="11">
        <f>'Data Ri Aset'!E57</f>
        <v>-3.0977005472986863E-2</v>
      </c>
      <c r="F57" s="17">
        <f>'Data Makro Bulanan'!D57</f>
        <v>2.5008403361344536E-2</v>
      </c>
      <c r="G57" s="17">
        <f>'Data Makro Bulanan'!G57</f>
        <v>0.26865671641791045</v>
      </c>
      <c r="H57" s="17">
        <f>'Data Makro Bulanan'!J57</f>
        <v>3.5416666666666669E-3</v>
      </c>
      <c r="I57" s="12">
        <f>Rf!B57</f>
        <v>4.7916666666666672E-3</v>
      </c>
    </row>
    <row r="58" spans="1:9" x14ac:dyDescent="0.35">
      <c r="A58" s="1">
        <v>44835</v>
      </c>
      <c r="B58" s="11">
        <f>'Data Ri Aset'!B58</f>
        <v>8.2504828996705117E-3</v>
      </c>
      <c r="C58" s="11">
        <f>'Data Ri Aset'!C58</f>
        <v>-1.780521099175025E-2</v>
      </c>
      <c r="D58" s="11">
        <f>'Data Ri Aset'!D58</f>
        <v>2.1815718157181571E-2</v>
      </c>
      <c r="E58" s="11">
        <f>'Data Ri Aset'!E58</f>
        <v>5.5259228749420755E-2</v>
      </c>
      <c r="F58" s="17">
        <f>'Data Makro Bulanan'!D58</f>
        <v>1.934806847248639E-2</v>
      </c>
      <c r="G58" s="17">
        <f>'Data Makro Bulanan'!G58</f>
        <v>-4.0336134453781612E-2</v>
      </c>
      <c r="H58" s="17">
        <f>'Data Makro Bulanan'!J58</f>
        <v>3.9583333333333337E-3</v>
      </c>
      <c r="I58" s="12">
        <f>Rf!B58</f>
        <v>4.7916666666666672E-3</v>
      </c>
    </row>
    <row r="59" spans="1:9" x14ac:dyDescent="0.35">
      <c r="A59" s="1">
        <v>44866</v>
      </c>
      <c r="B59" s="11">
        <f>'Data Ri Aset'!B59</f>
        <v>-2.4764435003218708E-3</v>
      </c>
      <c r="C59" s="11">
        <f>'Data Ri Aset'!C59</f>
        <v>7.2632787479605901E-2</v>
      </c>
      <c r="D59" s="11">
        <f>'Data Ri Aset'!D59</f>
        <v>-7.8504177164832253E-2</v>
      </c>
      <c r="E59" s="11">
        <f>'Data Ri Aset'!E59</f>
        <v>-0.16258544225055244</v>
      </c>
      <c r="F59" s="17">
        <f>'Data Makro Bulanan'!D59</f>
        <v>1.2546647793076824E-2</v>
      </c>
      <c r="G59" s="17">
        <f>'Data Makro Bulanan'!G59</f>
        <v>-5.0788091068301226E-2</v>
      </c>
      <c r="H59" s="17">
        <f>'Data Makro Bulanan'!J59</f>
        <v>4.3749999999999995E-3</v>
      </c>
      <c r="I59" s="12">
        <f>Rf!B59</f>
        <v>4.7916666666666672E-3</v>
      </c>
    </row>
    <row r="60" spans="1:9" x14ac:dyDescent="0.35">
      <c r="A60" s="1">
        <v>44896</v>
      </c>
      <c r="B60" s="11">
        <f>'Data Ri Aset'!B60</f>
        <v>-3.2577305611532402E-2</v>
      </c>
      <c r="C60" s="11">
        <f>'Data Ri Aset'!C60</f>
        <v>3.7800687285223449E-2</v>
      </c>
      <c r="D60" s="11">
        <f>'Data Ri Aset'!D60</f>
        <v>-3.4537343502662253E-3</v>
      </c>
      <c r="E60" s="11">
        <f>'Data Ri Aset'!E60</f>
        <v>-3.6501028321069218E-2</v>
      </c>
      <c r="F60" s="17">
        <f>'Data Makro Bulanan'!D60</f>
        <v>-3.8126707758785028E-4</v>
      </c>
      <c r="G60" s="17">
        <f>'Data Makro Bulanan'!G60</f>
        <v>1.6605166051660479E-2</v>
      </c>
      <c r="H60" s="17">
        <f>'Data Makro Bulanan'!J60</f>
        <v>4.5833333333333334E-3</v>
      </c>
      <c r="I60" s="12">
        <f>Rf!B60</f>
        <v>6.0416666666666665E-3</v>
      </c>
    </row>
    <row r="61" spans="1:9" x14ac:dyDescent="0.35">
      <c r="A61" s="1">
        <v>44927</v>
      </c>
      <c r="B61" s="11">
        <f>'Data Ri Aset'!B61</f>
        <v>-1.6465662961892128E-3</v>
      </c>
      <c r="C61" s="11">
        <f>'Data Ri Aset'!C61</f>
        <v>6.5139507111062853E-2</v>
      </c>
      <c r="D61" s="11">
        <f>'Data Ri Aset'!D61</f>
        <v>-3.1624548736462095E-2</v>
      </c>
      <c r="E61" s="11">
        <f>'Data Ri Aset'!E61</f>
        <v>0.39835161512692424</v>
      </c>
      <c r="F61" s="17">
        <f>'Data Makro Bulanan'!D61</f>
        <v>-4.780369970122688E-2</v>
      </c>
      <c r="G61" s="17">
        <f>'Data Makro Bulanan'!G61</f>
        <v>-4.1742286751361102E-2</v>
      </c>
      <c r="H61" s="17">
        <f>'Data Makro Bulanan'!J61</f>
        <v>4.7916666666666672E-3</v>
      </c>
      <c r="I61" s="12">
        <f>Rf!B61</f>
        <v>6.0416666666666665E-3</v>
      </c>
    </row>
    <row r="62" spans="1:9" x14ac:dyDescent="0.35">
      <c r="A62" s="1">
        <v>44958</v>
      </c>
      <c r="B62" s="11">
        <f>'Data Ri Aset'!B62</f>
        <v>5.7023046083388691E-4</v>
      </c>
      <c r="C62" s="11">
        <f>'Data Ri Aset'!C62</f>
        <v>-5.5549892977270407E-2</v>
      </c>
      <c r="D62" s="11">
        <f>'Data Ri Aset'!D62</f>
        <v>2.6692514166418133E-2</v>
      </c>
      <c r="E62" s="11">
        <f>'Data Ri Aset'!E62</f>
        <v>2.3351250372977654E-4</v>
      </c>
      <c r="F62" s="17">
        <f>'Data Makro Bulanan'!D62</f>
        <v>1.9694238600707657E-2</v>
      </c>
      <c r="G62" s="17">
        <f>'Data Makro Bulanan'!G62</f>
        <v>3.5984848484848467E-2</v>
      </c>
      <c r="H62" s="17">
        <f>'Data Makro Bulanan'!J62</f>
        <v>4.7916666666666672E-3</v>
      </c>
      <c r="I62" s="12">
        <f>Rf!B62</f>
        <v>6.0416666666666665E-3</v>
      </c>
    </row>
    <row r="63" spans="1:9" x14ac:dyDescent="0.35">
      <c r="A63" s="1">
        <v>44986</v>
      </c>
      <c r="B63" s="11">
        <f>'Data Ri Aset'!B63</f>
        <v>-5.5470800381106078E-3</v>
      </c>
      <c r="C63" s="11">
        <f>'Data Ri Aset'!C63</f>
        <v>8.142672134685941E-2</v>
      </c>
      <c r="D63" s="11">
        <f>'Data Ri Aset'!D63</f>
        <v>-1.0167029774872912E-2</v>
      </c>
      <c r="E63" s="11">
        <f>'Data Ri Aset'!E63</f>
        <v>0.23100235619636414</v>
      </c>
      <c r="F63" s="17">
        <f>'Data Makro Bulanan'!D63</f>
        <v>-1.3879795731308105E-2</v>
      </c>
      <c r="G63" s="17">
        <f>'Data Makro Bulanan'!G63</f>
        <v>-9.1407678244972659E-2</v>
      </c>
      <c r="H63" s="17">
        <f>'Data Makro Bulanan'!J63</f>
        <v>4.7916666666666672E-3</v>
      </c>
      <c r="I63" s="12">
        <f>Rf!B63</f>
        <v>6.4583333333333333E-3</v>
      </c>
    </row>
    <row r="64" spans="1:9" x14ac:dyDescent="0.35">
      <c r="A64" s="1">
        <v>45017</v>
      </c>
      <c r="B64" s="11">
        <f>'Data Ri Aset'!B64</f>
        <v>1.6228575459055396E-2</v>
      </c>
      <c r="C64" s="11">
        <f>'Data Ri Aset'!C64</f>
        <v>7.0854747767077723E-3</v>
      </c>
      <c r="D64" s="11">
        <f>'Data Ri Aset'!D64</f>
        <v>-4.0939104915627293E-2</v>
      </c>
      <c r="E64" s="11">
        <f>'Data Ri Aset'!E64</f>
        <v>2.7337507945928975E-2</v>
      </c>
      <c r="F64" s="17">
        <f>'Data Makro Bulanan'!D64</f>
        <v>-2.0647988314964814E-2</v>
      </c>
      <c r="G64" s="17">
        <f>'Data Makro Bulanan'!G64</f>
        <v>-0.12877263581488926</v>
      </c>
      <c r="H64" s="17">
        <f>'Data Makro Bulanan'!J64</f>
        <v>4.7916666666666672E-3</v>
      </c>
      <c r="I64" s="12">
        <f>Rf!B64</f>
        <v>6.4583333333333333E-3</v>
      </c>
    </row>
    <row r="65" spans="1:9" x14ac:dyDescent="0.35">
      <c r="A65" s="1">
        <v>45047</v>
      </c>
      <c r="B65" s="11">
        <f>'Data Ri Aset'!B65</f>
        <v>-4.0843180464217754E-2</v>
      </c>
      <c r="C65" s="11">
        <f>'Data Ri Aset'!C65</f>
        <v>-1.793588663726901E-2</v>
      </c>
      <c r="D65" s="11">
        <f>'Data Ri Aset'!D65</f>
        <v>-2.2031823745410038E-2</v>
      </c>
      <c r="E65" s="11">
        <f>'Data Ri Aset'!E65</f>
        <v>-6.9601840551618513E-2</v>
      </c>
      <c r="F65" s="17">
        <f>'Data Makro Bulanan'!D65</f>
        <v>1.4778659073961087E-2</v>
      </c>
      <c r="G65" s="17">
        <f>'Data Makro Bulanan'!G65</f>
        <v>-7.6212471131639661E-2</v>
      </c>
      <c r="H65" s="17">
        <f>'Data Makro Bulanan'!J65</f>
        <v>4.7916666666666672E-3</v>
      </c>
      <c r="I65" s="12">
        <f>Rf!B65</f>
        <v>6.4583333333333333E-3</v>
      </c>
    </row>
    <row r="66" spans="1:9" x14ac:dyDescent="0.35">
      <c r="A66" s="1">
        <v>45078</v>
      </c>
      <c r="B66" s="11">
        <f>'Data Ri Aset'!B66</f>
        <v>4.3146205636444054E-3</v>
      </c>
      <c r="C66" s="11">
        <f>'Data Ri Aset'!C66</f>
        <v>-2.6587962262247022E-2</v>
      </c>
      <c r="D66" s="11">
        <f>'Data Ri Aset'!D66</f>
        <v>-2.1120150187734669E-2</v>
      </c>
      <c r="E66" s="11">
        <f>'Data Ri Aset'!E66</f>
        <v>0.1196644633139944</v>
      </c>
      <c r="F66" s="17">
        <f>'Data Makro Bulanan'!D66</f>
        <v>3.8078695971674793E-3</v>
      </c>
      <c r="G66" s="17">
        <f>'Data Makro Bulanan'!G66</f>
        <v>-0.11999999999999997</v>
      </c>
      <c r="H66" s="17">
        <f>'Data Makro Bulanan'!J66</f>
        <v>4.7916666666666672E-3</v>
      </c>
      <c r="I66" s="12">
        <f>Rf!B66</f>
        <v>6.4583333333333333E-3</v>
      </c>
    </row>
    <row r="67" spans="1:9" x14ac:dyDescent="0.35">
      <c r="A67" s="1">
        <v>45108</v>
      </c>
      <c r="B67" s="11">
        <f>'Data Ri Aset'!B67</f>
        <v>4.0451043849483864E-2</v>
      </c>
      <c r="C67" s="11">
        <f>'Data Ri Aset'!C67</f>
        <v>4.1360008292733466E-2</v>
      </c>
      <c r="D67" s="11">
        <f>'Data Ri Aset'!D67</f>
        <v>1.758031005274093E-3</v>
      </c>
      <c r="E67" s="11">
        <f>'Data Ri Aset'!E67</f>
        <v>-4.0708301474424814E-2</v>
      </c>
      <c r="F67" s="17">
        <f>'Data Makro Bulanan'!D67</f>
        <v>3.7934247304671903E-3</v>
      </c>
      <c r="G67" s="17">
        <f>'Data Makro Bulanan'!G67</f>
        <v>-0.12500000000000003</v>
      </c>
      <c r="H67" s="17">
        <f>'Data Makro Bulanan'!J67</f>
        <v>4.7916666666666672E-3</v>
      </c>
      <c r="I67" s="12">
        <f>Rf!B67</f>
        <v>6.4583333333333333E-3</v>
      </c>
    </row>
    <row r="68" spans="1:9" x14ac:dyDescent="0.35">
      <c r="A68" s="1">
        <v>45139</v>
      </c>
      <c r="B68" s="11">
        <f>'Data Ri Aset'!B68</f>
        <v>3.1595531035757121E-3</v>
      </c>
      <c r="C68" s="11">
        <f>'Data Ri Aset'!C68</f>
        <v>-2.1550866016324881E-2</v>
      </c>
      <c r="D68" s="11">
        <f>'Data Ri Aset'!D68</f>
        <v>1.8028079132099552E-2</v>
      </c>
      <c r="E68" s="11">
        <f>'Data Ri Aset'!E68</f>
        <v>-0.11272081662812503</v>
      </c>
      <c r="F68" s="17">
        <f>'Data Makro Bulanan'!D68</f>
        <v>1.0342770005966983E-2</v>
      </c>
      <c r="G68" s="17">
        <f>'Data Makro Bulanan'!G68</f>
        <v>6.1688311688311653E-2</v>
      </c>
      <c r="H68" s="17">
        <f>'Data Makro Bulanan'!J68</f>
        <v>4.7916666666666672E-3</v>
      </c>
      <c r="I68" s="12">
        <f>Rf!B68</f>
        <v>6.4583333333333333E-3</v>
      </c>
    </row>
    <row r="69" spans="1:9" x14ac:dyDescent="0.35">
      <c r="A69" s="1">
        <v>45170</v>
      </c>
      <c r="B69" s="11">
        <f>'Data Ri Aset'!B69</f>
        <v>-1.9228390711694789E-3</v>
      </c>
      <c r="C69" s="11">
        <f>'Data Ri Aset'!C69</f>
        <v>-4.0948166234294724E-2</v>
      </c>
      <c r="D69" s="11">
        <f>'Data Ri Aset'!D69</f>
        <v>8.290236640025074E-2</v>
      </c>
      <c r="E69" s="11">
        <f>'Data Ri Aset'!E69</f>
        <v>3.9533798814834292E-2</v>
      </c>
      <c r="F69" s="17">
        <f>'Data Makro Bulanan'!D69</f>
        <v>1.8833256775378962E-2</v>
      </c>
      <c r="G69" s="17">
        <f>'Data Makro Bulanan'!G69</f>
        <v>-0.30275229357798172</v>
      </c>
      <c r="H69" s="17">
        <f>'Data Makro Bulanan'!J69</f>
        <v>4.7916666666666672E-3</v>
      </c>
      <c r="I69" s="12">
        <f>Rf!B69</f>
        <v>6.4583333333333333E-3</v>
      </c>
    </row>
    <row r="70" spans="1:9" x14ac:dyDescent="0.35">
      <c r="A70" s="1">
        <v>45200</v>
      </c>
      <c r="B70" s="11">
        <f>'Data Ri Aset'!B70</f>
        <v>-3.4333397215229697E-2</v>
      </c>
      <c r="C70" s="11">
        <f>'Data Ri Aset'!C70</f>
        <v>6.2665747321523205E-2</v>
      </c>
      <c r="D70" s="11">
        <f>'Data Ri Aset'!D70</f>
        <v>2.3444283646888567E-2</v>
      </c>
      <c r="E70" s="11">
        <f>'Data Ri Aset'!E70</f>
        <v>0.2713378111242567</v>
      </c>
      <c r="F70" s="17">
        <f>'Data Makro Bulanan'!D70</f>
        <v>2.5119154965863713E-2</v>
      </c>
      <c r="G70" s="17">
        <f>'Data Makro Bulanan'!G70</f>
        <v>0.12280701754385984</v>
      </c>
      <c r="H70" s="17">
        <f>'Data Makro Bulanan'!J70</f>
        <v>5.0000000000000001E-3</v>
      </c>
      <c r="I70" s="12">
        <f>Rf!B70</f>
        <v>6.4583333333333333E-3</v>
      </c>
    </row>
    <row r="71" spans="1:9" x14ac:dyDescent="0.35">
      <c r="A71" s="1">
        <v>45231</v>
      </c>
      <c r="B71" s="11">
        <f>'Data Ri Aset'!B71</f>
        <v>5.6571396169881299E-2</v>
      </c>
      <c r="C71" s="11">
        <f>'Data Ri Aset'!C71</f>
        <v>1.724439120561002E-2</v>
      </c>
      <c r="D71" s="11">
        <f>'Data Ri Aset'!D71</f>
        <v>-6.4479638009049781E-2</v>
      </c>
      <c r="E71" s="11">
        <f>'Data Ri Aset'!E71</f>
        <v>0.10018466277892699</v>
      </c>
      <c r="F71" s="17">
        <f>'Data Makro Bulanan'!D71</f>
        <v>-5.441065594370445E-2</v>
      </c>
      <c r="G71" s="17">
        <f>'Data Makro Bulanan'!G71</f>
        <v>0.11718749999999996</v>
      </c>
      <c r="H71" s="17">
        <f>'Data Makro Bulanan'!J71</f>
        <v>5.0000000000000001E-3</v>
      </c>
      <c r="I71" s="12">
        <f>Rf!B71</f>
        <v>6.4583333333333333E-3</v>
      </c>
    </row>
    <row r="72" spans="1:9" x14ac:dyDescent="0.35">
      <c r="A72" s="1">
        <v>45261</v>
      </c>
      <c r="B72" s="11">
        <f>'Data Ri Aset'!B72</f>
        <v>2.7124283620073665E-2</v>
      </c>
      <c r="C72" s="11">
        <f>'Data Ri Aset'!C72</f>
        <v>1.6535008095775613E-2</v>
      </c>
      <c r="D72" s="11">
        <f>'Data Ri Aset'!D72</f>
        <v>-2.0253929866989116E-2</v>
      </c>
      <c r="E72" s="11">
        <f>'Data Ri Aset'!E72</f>
        <v>0.12090292711512501</v>
      </c>
      <c r="F72" s="17">
        <f>'Data Makro Bulanan'!D72</f>
        <v>2.2923588039867111E-2</v>
      </c>
      <c r="G72" s="17">
        <f>'Data Makro Bulanan'!G72</f>
        <v>-8.7412587412587492E-2</v>
      </c>
      <c r="H72" s="17">
        <f>'Data Makro Bulanan'!J72</f>
        <v>5.0000000000000001E-3</v>
      </c>
      <c r="I72" s="12">
        <f>Rf!B72</f>
        <v>6.6666666666666671E-3</v>
      </c>
    </row>
    <row r="73" spans="1:9" x14ac:dyDescent="0.35">
      <c r="A73" s="1">
        <v>45292</v>
      </c>
      <c r="B73" s="11">
        <f>'Data Ri Aset'!B73</f>
        <v>-8.9181608183918955E-3</v>
      </c>
      <c r="C73" s="11">
        <f>'Data Ri Aset'!C73</f>
        <v>-6.9504778453519109E-3</v>
      </c>
      <c r="D73" s="11">
        <f>'Data Ri Aset'!D73</f>
        <v>1.5890157358839863E-2</v>
      </c>
      <c r="E73" s="11">
        <f>'Data Ri Aset'!E73</f>
        <v>7.2860606777455789E-3</v>
      </c>
      <c r="F73" s="17">
        <f>'Data Makro Bulanan'!D73</f>
        <v>2.4683338746346217E-2</v>
      </c>
      <c r="G73" s="17">
        <f>'Data Makro Bulanan'!G73</f>
        <v>-1.53256704980842E-2</v>
      </c>
      <c r="H73" s="17">
        <f>'Data Makro Bulanan'!J73</f>
        <v>5.0000000000000001E-3</v>
      </c>
      <c r="I73" s="12">
        <f>Rf!B73</f>
        <v>6.6666666666666671E-3</v>
      </c>
    </row>
    <row r="74" spans="1:9" x14ac:dyDescent="0.35">
      <c r="A74" s="1">
        <v>45323</v>
      </c>
      <c r="B74" s="11">
        <f>'Data Ri Aset'!B74</f>
        <v>1.5007061657006035E-2</v>
      </c>
      <c r="C74" s="11">
        <f>'Data Ri Aset'!C74</f>
        <v>-1.3123359580053818E-3</v>
      </c>
      <c r="D74" s="11">
        <f>'Data Ri Aset'!D74</f>
        <v>3.1890660592255125E-3</v>
      </c>
      <c r="E74" s="11">
        <f>'Data Ri Aset'!E74</f>
        <v>0.43655663977642356</v>
      </c>
      <c r="F74" s="17">
        <f>'Data Makro Bulanan'!D74</f>
        <v>2.4683338746346217E-2</v>
      </c>
      <c r="G74" s="17">
        <f>'Data Makro Bulanan'!G74</f>
        <v>-1.53256704980842E-2</v>
      </c>
      <c r="H74" s="17">
        <f>'Data Makro Bulanan'!J74</f>
        <v>5.0000000000000001E-3</v>
      </c>
      <c r="I74" s="12">
        <f>Rf!B74</f>
        <v>6.6666666666666671E-3</v>
      </c>
    </row>
    <row r="75" spans="1:9" x14ac:dyDescent="0.35">
      <c r="A75" s="1">
        <v>45352</v>
      </c>
      <c r="B75" s="11">
        <f>'Data Ri Aset'!B75</f>
        <v>-3.731491188623363E-3</v>
      </c>
      <c r="C75" s="11">
        <f>'Data Ri Aset'!C75</f>
        <v>8.3905192972210108E-2</v>
      </c>
      <c r="D75" s="11">
        <f>'Data Ri Aset'!D75</f>
        <v>1.3018468059339995E-2</v>
      </c>
      <c r="E75" s="11">
        <f>'Data Ri Aset'!E75</f>
        <v>0.16614053127957973</v>
      </c>
      <c r="F75" s="17">
        <f>'Data Makro Bulanan'!D75</f>
        <v>-4.1204437400950873E-3</v>
      </c>
      <c r="G75" s="17">
        <f>'Data Makro Bulanan'!G75</f>
        <v>7.0038910505836549E-2</v>
      </c>
      <c r="H75" s="17">
        <f>'Data Makro Bulanan'!J75</f>
        <v>5.0000000000000001E-3</v>
      </c>
      <c r="I75" s="12">
        <f>Rf!B75</f>
        <v>6.6666666666666671E-3</v>
      </c>
    </row>
    <row r="76" spans="1:9" x14ac:dyDescent="0.35">
      <c r="A76" s="1">
        <v>45383</v>
      </c>
      <c r="B76" s="11">
        <f>'Data Ri Aset'!B76</f>
        <v>-7.4923067002707682E-3</v>
      </c>
      <c r="C76" s="11">
        <f>'Data Ri Aset'!C76</f>
        <v>3.4035292532890386E-2</v>
      </c>
      <c r="D76" s="11">
        <f>'Data Ri Aset'!D76</f>
        <v>8.6072922893006582E-2</v>
      </c>
      <c r="E76" s="11">
        <f>'Data Ri Aset'!E76</f>
        <v>-0.14951774799528966</v>
      </c>
      <c r="F76" s="17">
        <f>'Data Makro Bulanan'!D76</f>
        <v>8.9115213239974542E-3</v>
      </c>
      <c r="G76" s="17">
        <f>'Data Makro Bulanan'!G76</f>
        <v>0.10909090909090906</v>
      </c>
      <c r="H76" s="17">
        <f>'Data Makro Bulanan'!J76</f>
        <v>5.0000000000000001E-3</v>
      </c>
      <c r="I76" s="12">
        <f>Rf!B76</f>
        <v>6.6666666666666671E-3</v>
      </c>
    </row>
    <row r="77" spans="1:9" x14ac:dyDescent="0.35">
      <c r="A77" s="1">
        <v>45413</v>
      </c>
      <c r="B77" s="11">
        <f>'Data Ri Aset'!B77</f>
        <v>-3.6418677946421174E-2</v>
      </c>
      <c r="C77" s="11">
        <f>'Data Ri Aset'!C77</f>
        <v>1.3461287941291415E-2</v>
      </c>
      <c r="D77" s="11">
        <f>'Data Ri Aset'!D77</f>
        <v>-4.6505228398458998E-2</v>
      </c>
      <c r="E77" s="11">
        <f>'Data Ri Aset'!E77</f>
        <v>0.11313473970850529</v>
      </c>
      <c r="F77" s="17">
        <f>'Data Makro Bulanan'!D77</f>
        <v>2.5552050473186119E-2</v>
      </c>
      <c r="G77" s="17">
        <f>'Data Makro Bulanan'!G77</f>
        <v>-1.6393442622950834E-2</v>
      </c>
      <c r="H77" s="17">
        <f>'Data Makro Bulanan'!J77</f>
        <v>5.208333333333333E-3</v>
      </c>
      <c r="I77" s="12">
        <f>Rf!B77</f>
        <v>6.6666666666666671E-3</v>
      </c>
    </row>
    <row r="78" spans="1:9" x14ac:dyDescent="0.35">
      <c r="A78" s="1">
        <v>45444</v>
      </c>
      <c r="B78" s="11">
        <f>'Data Ri Aset'!B78</f>
        <v>1.3318528592373284E-2</v>
      </c>
      <c r="C78" s="11">
        <f>'Data Ri Aset'!C78</f>
        <v>7.2839453275633055E-3</v>
      </c>
      <c r="D78" s="11">
        <f>'Data Ri Aset'!D78</f>
        <v>1.7893217893217895E-2</v>
      </c>
      <c r="E78" s="11">
        <f>'Data Ri Aset'!E78</f>
        <v>-7.07210562401063E-2</v>
      </c>
      <c r="F78" s="17">
        <f>'Data Makro Bulanan'!D78</f>
        <v>-6.1519532451553372E-4</v>
      </c>
      <c r="G78" s="17">
        <f>'Data Makro Bulanan'!G78</f>
        <v>-5.3333333333333247E-2</v>
      </c>
      <c r="H78" s="17">
        <f>'Data Makro Bulanan'!J78</f>
        <v>5.208333333333333E-3</v>
      </c>
      <c r="I78" s="12">
        <f>Rf!B78</f>
        <v>6.6666666666666671E-3</v>
      </c>
    </row>
    <row r="79" spans="1:9" x14ac:dyDescent="0.35">
      <c r="A79" s="1">
        <v>45474</v>
      </c>
      <c r="B79" s="11">
        <f>'Data Ri Aset'!B79</f>
        <v>2.720716690403454E-2</v>
      </c>
      <c r="C79" s="11">
        <f>'Data Ri Aset'!C79</f>
        <v>4.1856310349227994E-2</v>
      </c>
      <c r="D79" s="11">
        <f>'Data Ri Aset'!D79</f>
        <v>-2.339098383895662E-2</v>
      </c>
      <c r="E79" s="11">
        <f>'Data Ri Aset'!E79</f>
        <v>2.9825844603477324E-2</v>
      </c>
      <c r="F79" s="17">
        <f>'Data Makro Bulanan'!D79</f>
        <v>6.4635272391505077E-3</v>
      </c>
      <c r="G79" s="17">
        <f>'Data Makro Bulanan'!G79</f>
        <v>-0.11619718309859157</v>
      </c>
      <c r="H79" s="17">
        <f>'Data Makro Bulanan'!J79</f>
        <v>5.208333333333333E-3</v>
      </c>
      <c r="I79" s="12">
        <f>Rf!B79</f>
        <v>6.6666666666666671E-3</v>
      </c>
    </row>
    <row r="80" spans="1:9" x14ac:dyDescent="0.35">
      <c r="A80" s="1">
        <v>45505</v>
      </c>
      <c r="B80" s="11">
        <f>'Data Ri Aset'!B80</f>
        <v>5.7191803477512945E-2</v>
      </c>
      <c r="C80" s="11">
        <f>'Data Ri Aset'!C80</f>
        <v>2.7232270444616753E-2</v>
      </c>
      <c r="D80" s="11">
        <f>'Data Ri Aset'!D80</f>
        <v>-3.8321962548991145E-2</v>
      </c>
      <c r="E80" s="11">
        <f>'Data Ri Aset'!E80</f>
        <v>-8.7385881843221019E-2</v>
      </c>
      <c r="F80" s="17">
        <f>'Data Makro Bulanan'!D80</f>
        <v>-5.8103975535168193E-3</v>
      </c>
      <c r="G80" s="17">
        <f>'Data Makro Bulanan'!G80</f>
        <v>-0.15139442231075703</v>
      </c>
      <c r="H80" s="17">
        <f>'Data Makro Bulanan'!J80</f>
        <v>5.208333333333333E-3</v>
      </c>
      <c r="I80" s="12">
        <f>Rf!B80</f>
        <v>6.6666666666666671E-3</v>
      </c>
    </row>
  </sheetData>
  <mergeCells count="1">
    <mergeCell ref="K5:M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4010-4C82-4899-9DA6-E0E796C3401B}">
  <dimension ref="A1:E317"/>
  <sheetViews>
    <sheetView zoomScale="78" workbookViewId="0">
      <selection activeCell="H19" sqref="H19"/>
    </sheetView>
  </sheetViews>
  <sheetFormatPr defaultRowHeight="15.5" x14ac:dyDescent="0.35"/>
  <sheetData>
    <row r="1" spans="1:5" x14ac:dyDescent="0.35">
      <c r="A1" s="1" t="s">
        <v>0</v>
      </c>
      <c r="B1" s="3" t="s">
        <v>1</v>
      </c>
      <c r="C1" s="16" t="s">
        <v>6</v>
      </c>
      <c r="D1" s="16" t="s">
        <v>7</v>
      </c>
      <c r="E1" s="16" t="s">
        <v>8</v>
      </c>
    </row>
    <row r="2" spans="1:5" x14ac:dyDescent="0.35">
      <c r="A2" s="1">
        <v>43132</v>
      </c>
      <c r="B2" s="11">
        <f>'Data Ri Aset'!B2</f>
        <v>-1.273156383266979E-3</v>
      </c>
      <c r="C2" s="17">
        <f>'Data Makro Bulanan'!D2</f>
        <v>2.1919033773205098E-2</v>
      </c>
      <c r="D2" s="17">
        <f>'Data Makro Bulanan'!G2</f>
        <v>-2.1538461538461513E-2</v>
      </c>
      <c r="E2" s="17">
        <f>'Data Makro Bulanan'!J2</f>
        <v>3.5416666666666669E-3</v>
      </c>
    </row>
    <row r="3" spans="1:5" x14ac:dyDescent="0.35">
      <c r="A3" s="1">
        <v>43160</v>
      </c>
      <c r="B3" s="11">
        <f>'Data Ri Aset'!B3</f>
        <v>-6.1879094527695071E-2</v>
      </c>
      <c r="C3" s="17">
        <f>'Data Makro Bulanan'!D3</f>
        <v>3.5748157875538046E-3</v>
      </c>
      <c r="D3" s="17">
        <f>'Data Makro Bulanan'!G3</f>
        <v>6.9182389937106931E-2</v>
      </c>
      <c r="E3" s="17">
        <f>'Data Makro Bulanan'!J3</f>
        <v>3.5416666666666669E-3</v>
      </c>
    </row>
    <row r="4" spans="1:5" x14ac:dyDescent="0.35">
      <c r="A4" s="1">
        <v>43191</v>
      </c>
      <c r="B4" s="11">
        <f>'Data Ri Aset'!B4</f>
        <v>-3.1409002115046145E-2</v>
      </c>
      <c r="C4" s="17">
        <f>'Data Makro Bulanan'!D4</f>
        <v>8.7961616749054963E-3</v>
      </c>
      <c r="D4" s="17">
        <f>'Data Makro Bulanan'!G4</f>
        <v>2.9411764705881151E-3</v>
      </c>
      <c r="E4" s="17">
        <f>'Data Makro Bulanan'!J4</f>
        <v>3.5416666666666669E-3</v>
      </c>
    </row>
    <row r="5" spans="1:5" x14ac:dyDescent="0.35">
      <c r="A5" s="1">
        <v>43221</v>
      </c>
      <c r="B5" s="11">
        <f>'Data Ri Aset'!B5</f>
        <v>-1.8366529876889563E-3</v>
      </c>
      <c r="C5" s="17">
        <f>'Data Makro Bulanan'!D5</f>
        <v>5.3325646753621097E-3</v>
      </c>
      <c r="D5" s="17">
        <f>'Data Makro Bulanan'!G5</f>
        <v>-5.2785923753665573E-2</v>
      </c>
      <c r="E5" s="17">
        <f>'Data Makro Bulanan'!J5</f>
        <v>3.9583333333333337E-3</v>
      </c>
    </row>
    <row r="6" spans="1:5" x14ac:dyDescent="0.35">
      <c r="A6" s="1">
        <v>43252</v>
      </c>
      <c r="B6" s="11">
        <f>'Data Ri Aset'!B6</f>
        <v>-3.0809263335221892E-2</v>
      </c>
      <c r="C6" s="17">
        <f>'Data Makro Bulanan'!D6</f>
        <v>3.2470790624328005E-2</v>
      </c>
      <c r="D6" s="17">
        <f>'Data Makro Bulanan'!G6</f>
        <v>-3.4055727554179571E-2</v>
      </c>
      <c r="E6" s="17">
        <f>'Data Makro Bulanan'!J6</f>
        <v>4.3749999999999995E-3</v>
      </c>
    </row>
    <row r="7" spans="1:5" x14ac:dyDescent="0.35">
      <c r="A7" s="1">
        <v>43282</v>
      </c>
      <c r="B7" s="11">
        <f>'Data Ri Aset'!B7</f>
        <v>2.3658272463288263E-2</v>
      </c>
      <c r="C7" s="17">
        <f>'Data Makro Bulanan'!D7</f>
        <v>6.248264371008053E-4</v>
      </c>
      <c r="D7" s="17">
        <f>'Data Makro Bulanan'!G7</f>
        <v>1.9230769230769225E-2</v>
      </c>
      <c r="E7" s="17">
        <f>'Data Makro Bulanan'!J7</f>
        <v>4.3749999999999995E-3</v>
      </c>
    </row>
    <row r="8" spans="1:5" x14ac:dyDescent="0.35">
      <c r="A8" s="1">
        <v>43313</v>
      </c>
      <c r="B8" s="11">
        <f>'Data Ri Aset'!B8</f>
        <v>1.381636132092642E-2</v>
      </c>
      <c r="C8" s="17">
        <f>'Data Makro Bulanan'!D8</f>
        <v>2.0675778810795808E-2</v>
      </c>
      <c r="D8" s="17">
        <f>'Data Makro Bulanan'!G8</f>
        <v>6.2893081761005902E-3</v>
      </c>
      <c r="E8" s="17">
        <f>'Data Makro Bulanan'!J8</f>
        <v>4.5833333333333334E-3</v>
      </c>
    </row>
    <row r="9" spans="1:5" x14ac:dyDescent="0.35">
      <c r="A9" s="1">
        <v>43344</v>
      </c>
      <c r="B9" s="11">
        <f>'Data Ri Aset'!B9</f>
        <v>-6.9635753996869386E-3</v>
      </c>
      <c r="C9" s="17">
        <f>'Data Makro Bulanan'!D9</f>
        <v>1.4818843042621169E-2</v>
      </c>
      <c r="D9" s="17">
        <f>'Data Makro Bulanan'!G9</f>
        <v>-0.10000000000000005</v>
      </c>
      <c r="E9" s="17">
        <f>'Data Makro Bulanan'!J9</f>
        <v>4.7916666666666672E-3</v>
      </c>
    </row>
    <row r="10" spans="1:5" x14ac:dyDescent="0.35">
      <c r="A10" s="1">
        <v>43374</v>
      </c>
      <c r="B10" s="11">
        <f>'Data Ri Aset'!B10</f>
        <v>-2.4244756590340671E-2</v>
      </c>
      <c r="C10" s="17">
        <f>'Data Makro Bulanan'!D10</f>
        <v>1.9961149440685912E-2</v>
      </c>
      <c r="D10" s="17">
        <f>'Data Makro Bulanan'!G10</f>
        <v>9.7222222222222363E-2</v>
      </c>
      <c r="E10" s="17">
        <f>'Data Makro Bulanan'!J10</f>
        <v>4.7916666666666672E-3</v>
      </c>
    </row>
    <row r="11" spans="1:5" x14ac:dyDescent="0.35">
      <c r="A11" s="1">
        <v>43405</v>
      </c>
      <c r="B11" s="11">
        <f>'Data Ri Aset'!B11</f>
        <v>3.8491679027376519E-2</v>
      </c>
      <c r="C11" s="17">
        <f>'Data Makro Bulanan'!D11</f>
        <v>-5.8317462402311684E-2</v>
      </c>
      <c r="D11" s="17">
        <f>'Data Makro Bulanan'!G11</f>
        <v>2.2151898734177188E-2</v>
      </c>
      <c r="E11" s="17">
        <f>'Data Makro Bulanan'!J11</f>
        <v>5.0000000000000001E-3</v>
      </c>
    </row>
    <row r="12" spans="1:5" x14ac:dyDescent="0.35">
      <c r="A12" s="1">
        <v>43435</v>
      </c>
      <c r="B12" s="11">
        <f>'Data Ri Aset'!B12</f>
        <v>2.2849613283752651E-2</v>
      </c>
      <c r="C12" s="17">
        <f>'Data Makro Bulanan'!D12</f>
        <v>9.9030615803054611E-3</v>
      </c>
      <c r="D12" s="17">
        <f>'Data Makro Bulanan'!G12</f>
        <v>-3.0959752321981449E-2</v>
      </c>
      <c r="E12" s="17">
        <f>'Data Makro Bulanan'!J12</f>
        <v>5.0000000000000001E-3</v>
      </c>
    </row>
    <row r="13" spans="1:5" x14ac:dyDescent="0.35">
      <c r="A13" s="1">
        <v>43466</v>
      </c>
      <c r="B13" s="11">
        <f>'Data Ri Aset'!B13</f>
        <v>5.4640406812494997E-2</v>
      </c>
      <c r="C13" s="17">
        <f>'Data Makro Bulanan'!D13</f>
        <v>-2.8243905807609972E-2</v>
      </c>
      <c r="D13" s="17">
        <f>'Data Makro Bulanan'!G13</f>
        <v>-9.9041533546325944E-2</v>
      </c>
      <c r="E13" s="17">
        <f>'Data Makro Bulanan'!J13</f>
        <v>5.0000000000000001E-3</v>
      </c>
    </row>
    <row r="14" spans="1:5" x14ac:dyDescent="0.35">
      <c r="A14" s="1">
        <v>43497</v>
      </c>
      <c r="B14" s="11">
        <f>'Data Ri Aset'!B14</f>
        <v>-1.3718109833659099E-2</v>
      </c>
      <c r="C14" s="17">
        <f>'Data Makro Bulanan'!D14</f>
        <v>-7.1063104036384311E-4</v>
      </c>
      <c r="D14" s="17">
        <f>'Data Makro Bulanan'!G14</f>
        <v>-8.8652482269503632E-2</v>
      </c>
      <c r="E14" s="17">
        <f>'Data Makro Bulanan'!J14</f>
        <v>5.0000000000000001E-3</v>
      </c>
    </row>
    <row r="15" spans="1:5" x14ac:dyDescent="0.35">
      <c r="A15" s="1">
        <v>43525</v>
      </c>
      <c r="B15" s="11">
        <f>'Data Ri Aset'!B15</f>
        <v>3.942048778973614E-3</v>
      </c>
      <c r="C15" s="17">
        <f>'Data Makro Bulanan'!D15</f>
        <v>1.2942682406485564E-2</v>
      </c>
      <c r="D15" s="17">
        <f>'Data Makro Bulanan'!G15</f>
        <v>-3.5019455252918212E-2</v>
      </c>
      <c r="E15" s="17">
        <f>'Data Makro Bulanan'!J15</f>
        <v>5.0000000000000001E-3</v>
      </c>
    </row>
    <row r="16" spans="1:5" x14ac:dyDescent="0.35">
      <c r="A16" s="1">
        <v>43556</v>
      </c>
      <c r="B16" s="11">
        <f>'Data Ri Aset'!B16</f>
        <v>-2.0714975845410066E-3</v>
      </c>
      <c r="C16" s="17">
        <f>'Data Makro Bulanan'!D16</f>
        <v>-2.0359449592811008E-3</v>
      </c>
      <c r="D16" s="17">
        <f>'Data Makro Bulanan'!G16</f>
        <v>0.14112903225806464</v>
      </c>
      <c r="E16" s="17">
        <f>'Data Makro Bulanan'!J16</f>
        <v>5.0000000000000001E-3</v>
      </c>
    </row>
    <row r="17" spans="1:5" x14ac:dyDescent="0.35">
      <c r="A17" s="1">
        <v>43586</v>
      </c>
      <c r="B17" s="11">
        <f>'Data Ri Aset'!B17</f>
        <v>-3.8143555345566155E-2</v>
      </c>
      <c r="C17" s="17">
        <f>'Data Makro Bulanan'!D17</f>
        <v>1.1959198030249736E-2</v>
      </c>
      <c r="D17" s="17">
        <f>'Data Makro Bulanan'!G17</f>
        <v>0.17314487632508826</v>
      </c>
      <c r="E17" s="17">
        <f>'Data Makro Bulanan'!J17</f>
        <v>5.0000000000000001E-3</v>
      </c>
    </row>
    <row r="18" spans="1:5" x14ac:dyDescent="0.35">
      <c r="A18" s="1">
        <v>43617</v>
      </c>
      <c r="B18" s="11">
        <f>'Data Ri Aset'!B18</f>
        <v>2.4079096554745313E-2</v>
      </c>
      <c r="C18" s="17">
        <f>'Data Makro Bulanan'!D18</f>
        <v>-1.6962113312478277E-2</v>
      </c>
      <c r="D18" s="17">
        <f>'Data Makro Bulanan'!G18</f>
        <v>-1.2048192771084473E-2</v>
      </c>
      <c r="E18" s="17">
        <f>'Data Makro Bulanan'!J18</f>
        <v>5.0000000000000001E-3</v>
      </c>
    </row>
    <row r="19" spans="1:5" x14ac:dyDescent="0.35">
      <c r="A19" s="1">
        <v>43647</v>
      </c>
      <c r="B19" s="11">
        <f>'Data Ri Aset'!B19</f>
        <v>5.0120859367505091E-3</v>
      </c>
      <c r="C19" s="17">
        <f>'Data Makro Bulanan'!D19</f>
        <v>-8.1323810197298629E-3</v>
      </c>
      <c r="D19" s="17">
        <f>'Data Makro Bulanan'!G19</f>
        <v>1.2195121951219651E-2</v>
      </c>
      <c r="E19" s="17">
        <f>'Data Makro Bulanan'!J19</f>
        <v>4.7916666666666672E-3</v>
      </c>
    </row>
    <row r="20" spans="1:5" x14ac:dyDescent="0.35">
      <c r="A20" s="1">
        <v>43678</v>
      </c>
      <c r="B20" s="11">
        <f>'Data Ri Aset'!B20</f>
        <v>-9.7065957280337602E-3</v>
      </c>
      <c r="C20" s="17">
        <f>'Data Makro Bulanan'!D20</f>
        <v>1.5043490660202481E-2</v>
      </c>
      <c r="D20" s="17">
        <f>'Data Makro Bulanan'!G20</f>
        <v>5.1204819277108439E-2</v>
      </c>
      <c r="E20" s="17">
        <f>'Data Makro Bulanan'!J20</f>
        <v>4.5833333333333334E-3</v>
      </c>
    </row>
    <row r="21" spans="1:5" x14ac:dyDescent="0.35">
      <c r="A21" s="1">
        <v>43709</v>
      </c>
      <c r="B21" s="11">
        <f>'Data Ri Aset'!B21</f>
        <v>-2.5183022120670539E-2</v>
      </c>
      <c r="C21" s="17">
        <f>'Data Makro Bulanan'!D21</f>
        <v>-4.4250895553838588E-3</v>
      </c>
      <c r="D21" s="17">
        <f>'Data Makro Bulanan'!G21</f>
        <v>-2.8653295128939854E-2</v>
      </c>
      <c r="E21" s="17">
        <f>'Data Makro Bulanan'!J21</f>
        <v>4.3749999999999995E-3</v>
      </c>
    </row>
    <row r="22" spans="1:5" x14ac:dyDescent="0.35">
      <c r="A22" s="1">
        <v>43739</v>
      </c>
      <c r="B22" s="11">
        <f>'Data Ri Aset'!B22</f>
        <v>9.599455350050955E-3</v>
      </c>
      <c r="C22" s="17">
        <f>'Data Makro Bulanan'!D22</f>
        <v>-1.1711584591505574E-2</v>
      </c>
      <c r="D22" s="17">
        <f>'Data Makro Bulanan'!G22</f>
        <v>-7.6696165191740356E-2</v>
      </c>
      <c r="E22" s="17">
        <f>'Data Makro Bulanan'!J22</f>
        <v>4.1666666666666666E-3</v>
      </c>
    </row>
    <row r="23" spans="1:5" x14ac:dyDescent="0.35">
      <c r="A23" s="1">
        <v>43770</v>
      </c>
      <c r="B23" s="11">
        <f>'Data Ri Aset'!B23</f>
        <v>-3.4758971921802315E-2</v>
      </c>
      <c r="C23" s="17">
        <f>'Data Makro Bulanan'!D23</f>
        <v>6.7104511707595663E-3</v>
      </c>
      <c r="D23" s="17">
        <f>'Data Makro Bulanan'!G23</f>
        <v>-4.1533546325878676E-2</v>
      </c>
      <c r="E23" s="17">
        <f>'Data Makro Bulanan'!J23</f>
        <v>4.1666666666666666E-3</v>
      </c>
    </row>
    <row r="24" spans="1:5" x14ac:dyDescent="0.35">
      <c r="A24" s="1">
        <v>43800</v>
      </c>
      <c r="B24" s="11">
        <f>'Data Ri Aset'!B24</f>
        <v>4.7857308007711472E-2</v>
      </c>
      <c r="C24" s="17">
        <f>'Data Makro Bulanan'!D24</f>
        <v>-1.4253297404623458E-2</v>
      </c>
      <c r="D24" s="17">
        <f>'Data Makro Bulanan'!G24</f>
        <v>-9.333333333333324E-2</v>
      </c>
      <c r="E24" s="17">
        <f>'Data Makro Bulanan'!J24</f>
        <v>4.1666666666666666E-3</v>
      </c>
    </row>
    <row r="25" spans="1:5" x14ac:dyDescent="0.35">
      <c r="A25" s="1">
        <v>43831</v>
      </c>
      <c r="B25" s="11">
        <f>'Data Ri Aset'!B25</f>
        <v>-5.7066071490934227E-2</v>
      </c>
      <c r="C25" s="17">
        <f>'Data Makro Bulanan'!D25</f>
        <v>-1.7193007697287963E-2</v>
      </c>
      <c r="D25" s="17">
        <f>'Data Makro Bulanan'!G25</f>
        <v>-1.4705882352941214E-2</v>
      </c>
      <c r="E25" s="17">
        <f>'Data Makro Bulanan'!J25</f>
        <v>4.1666666666666666E-3</v>
      </c>
    </row>
    <row r="26" spans="1:5" x14ac:dyDescent="0.35">
      <c r="A26" s="1">
        <v>43862</v>
      </c>
      <c r="B26" s="11">
        <f>'Data Ri Aset'!B26</f>
        <v>-8.2044763932963588E-2</v>
      </c>
      <c r="C26" s="17">
        <f>'Data Makro Bulanan'!D26</f>
        <v>4.1867954911433171E-2</v>
      </c>
      <c r="D26" s="17">
        <f>'Data Makro Bulanan'!G26</f>
        <v>0.11194029850746265</v>
      </c>
      <c r="E26" s="17">
        <f>'Data Makro Bulanan'!J26</f>
        <v>3.9583333333333337E-3</v>
      </c>
    </row>
    <row r="27" spans="1:5" x14ac:dyDescent="0.35">
      <c r="A27" s="1">
        <v>43891</v>
      </c>
      <c r="B27" s="11">
        <f>'Data Ri Aset'!B27</f>
        <v>8.4189999999999994E-3</v>
      </c>
      <c r="C27" s="17">
        <f>'Data Makro Bulanan'!D27</f>
        <v>0.14985246592665449</v>
      </c>
      <c r="D27" s="17">
        <f>'Data Makro Bulanan'!G27</f>
        <v>-6.7114093959731135E-3</v>
      </c>
      <c r="E27" s="17">
        <f>'Data Makro Bulanan'!J27</f>
        <v>3.7499999999999999E-3</v>
      </c>
    </row>
    <row r="28" spans="1:5" x14ac:dyDescent="0.35">
      <c r="A28" s="1">
        <v>43922</v>
      </c>
      <c r="B28" s="11">
        <f>'Data Ri Aset'!B28</f>
        <v>3.9099523455968552E-2</v>
      </c>
      <c r="C28" s="17">
        <f>'Data Makro Bulanan'!D28</f>
        <v>-7.3929247876825324E-2</v>
      </c>
      <c r="D28" s="17">
        <f>'Data Makro Bulanan'!G28</f>
        <v>-9.7972972972973082E-2</v>
      </c>
      <c r="E28" s="17">
        <f>'Data Makro Bulanan'!J28</f>
        <v>3.7499999999999999E-3</v>
      </c>
    </row>
    <row r="29" spans="1:5" x14ac:dyDescent="0.35">
      <c r="A29" s="1">
        <v>43952</v>
      </c>
      <c r="B29" s="11">
        <f>'Data Ri Aset'!B29</f>
        <v>7.8894919854126111E-3</v>
      </c>
      <c r="C29" s="17">
        <f>'Data Makro Bulanan'!D29</f>
        <v>-2.7973873457808274E-2</v>
      </c>
      <c r="D29" s="17">
        <f>'Data Makro Bulanan'!G29</f>
        <v>-0.17977528089887637</v>
      </c>
      <c r="E29" s="17">
        <f>'Data Makro Bulanan'!J29</f>
        <v>3.7499999999999999E-3</v>
      </c>
    </row>
    <row r="30" spans="1:5" x14ac:dyDescent="0.35">
      <c r="A30" s="1">
        <v>43983</v>
      </c>
      <c r="B30" s="11">
        <f>'Data Ri Aset'!B30</f>
        <v>3.1929417852958206E-2</v>
      </c>
      <c r="C30" s="17">
        <f>'Data Makro Bulanan'!D30</f>
        <v>-2.9254055521618135E-2</v>
      </c>
      <c r="D30" s="17">
        <f>'Data Makro Bulanan'!G30</f>
        <v>-0.10502283105022832</v>
      </c>
      <c r="E30" s="17">
        <f>'Data Makro Bulanan'!J30</f>
        <v>3.5416666666666669E-3</v>
      </c>
    </row>
    <row r="31" spans="1:5" x14ac:dyDescent="0.35">
      <c r="A31" s="1">
        <v>44013</v>
      </c>
      <c r="B31" s="11">
        <f>'Data Ri Aset'!B31</f>
        <v>4.9790128817484396E-2</v>
      </c>
      <c r="C31" s="17">
        <f>'Data Makro Bulanan'!D31</f>
        <v>2.4542022094811915E-2</v>
      </c>
      <c r="D31" s="17">
        <f>'Data Makro Bulanan'!G31</f>
        <v>-0.21428571428571425</v>
      </c>
      <c r="E31" s="17">
        <f>'Data Makro Bulanan'!J31</f>
        <v>3.3333333333333335E-3</v>
      </c>
    </row>
    <row r="32" spans="1:5" x14ac:dyDescent="0.35">
      <c r="A32" s="1">
        <v>44044</v>
      </c>
      <c r="B32" s="11">
        <f>'Data Ri Aset'!B32</f>
        <v>1.7255608655379059E-2</v>
      </c>
      <c r="C32" s="17">
        <f>'Data Makro Bulanan'!D32</f>
        <v>-6.7562956391182694E-3</v>
      </c>
      <c r="D32" s="17">
        <f>'Data Makro Bulanan'!G32</f>
        <v>-0.14285714285714288</v>
      </c>
      <c r="E32" s="17">
        <f>'Data Makro Bulanan'!J32</f>
        <v>3.3333333333333335E-3</v>
      </c>
    </row>
    <row r="33" spans="1:5" x14ac:dyDescent="0.35">
      <c r="A33" s="1">
        <v>44075</v>
      </c>
      <c r="B33" s="11">
        <f>'Data Ri Aset'!B33</f>
        <v>-7.0335153832497499E-2</v>
      </c>
      <c r="C33" s="17">
        <f>'Data Makro Bulanan'!D33</f>
        <v>2.5010306444963583E-2</v>
      </c>
      <c r="D33" s="17">
        <f>'Data Makro Bulanan'!G33</f>
        <v>7.575757575757569E-2</v>
      </c>
      <c r="E33" s="17">
        <f>'Data Makro Bulanan'!J33</f>
        <v>3.3333333333333335E-3</v>
      </c>
    </row>
    <row r="34" spans="1:5" x14ac:dyDescent="0.35">
      <c r="A34" s="1">
        <v>44105</v>
      </c>
      <c r="B34" s="11">
        <f>'Data Ri Aset'!B34</f>
        <v>5.3015991655099258E-2</v>
      </c>
      <c r="C34" s="17">
        <f>'Data Makro Bulanan'!D34</f>
        <v>-1.5283550073736427E-2</v>
      </c>
      <c r="D34" s="17">
        <f>'Data Makro Bulanan'!G34</f>
        <v>1.408450704225356E-2</v>
      </c>
      <c r="E34" s="17">
        <f>'Data Makro Bulanan'!J34</f>
        <v>3.3333333333333335E-3</v>
      </c>
    </row>
    <row r="35" spans="1:5" x14ac:dyDescent="0.35">
      <c r="A35" s="1">
        <v>44136</v>
      </c>
      <c r="B35" s="11">
        <f>'Data Ri Aset'!B35</f>
        <v>9.4416592079528516E-2</v>
      </c>
      <c r="C35" s="17">
        <f>'Data Makro Bulanan'!D35</f>
        <v>-3.82573179033356E-2</v>
      </c>
      <c r="D35" s="17">
        <f>'Data Makro Bulanan'!G35</f>
        <v>0.10416666666666677</v>
      </c>
      <c r="E35" s="17">
        <f>'Data Makro Bulanan'!J35</f>
        <v>3.1249999999999997E-3</v>
      </c>
    </row>
    <row r="36" spans="1:5" x14ac:dyDescent="0.35">
      <c r="A36" s="1">
        <v>44166</v>
      </c>
      <c r="B36" s="11">
        <f>'Data Ri Aset'!B36</f>
        <v>6.5328325392611325E-2</v>
      </c>
      <c r="C36" s="17">
        <f>'Data Makro Bulanan'!D36</f>
        <v>-1.6279728199320499E-3</v>
      </c>
      <c r="D36" s="17">
        <f>'Data Makro Bulanan'!G36</f>
        <v>5.660377358490553E-2</v>
      </c>
      <c r="E36" s="17">
        <f>'Data Makro Bulanan'!J36</f>
        <v>3.1249999999999997E-3</v>
      </c>
    </row>
    <row r="37" spans="1:5" x14ac:dyDescent="0.35">
      <c r="A37" s="1">
        <v>44197</v>
      </c>
      <c r="B37" s="11">
        <f>'Data Ri Aset'!B37</f>
        <v>-1.9521430590375987E-2</v>
      </c>
      <c r="C37" s="17">
        <f>'Data Makro Bulanan'!D37</f>
        <v>-1.488833746898263E-3</v>
      </c>
      <c r="D37" s="17">
        <f>'Data Makro Bulanan'!G37</f>
        <v>-7.7380952380952328E-2</v>
      </c>
      <c r="E37" s="17">
        <f>'Data Makro Bulanan'!J37</f>
        <v>3.1249999999999997E-3</v>
      </c>
    </row>
    <row r="38" spans="1:5" x14ac:dyDescent="0.35">
      <c r="A38" s="1">
        <v>44228</v>
      </c>
      <c r="B38" s="11">
        <f>'Data Ri Aset'!B38</f>
        <v>6.4726602812865117E-2</v>
      </c>
      <c r="C38" s="17">
        <f>'Data Makro Bulanan'!D38</f>
        <v>1.02953706333428E-2</v>
      </c>
      <c r="D38" s="17">
        <f>'Data Makro Bulanan'!G38</f>
        <v>-0.10967741935483871</v>
      </c>
      <c r="E38" s="17">
        <f>'Data Makro Bulanan'!J38</f>
        <v>2.9166666666666668E-3</v>
      </c>
    </row>
    <row r="39" spans="1:5" x14ac:dyDescent="0.35">
      <c r="A39" s="1">
        <v>44256</v>
      </c>
      <c r="B39" s="11">
        <f>'Data Ri Aset'!B39</f>
        <v>-4.1058668973693445E-2</v>
      </c>
      <c r="C39" s="17">
        <f>'Data Makro Bulanan'!D39</f>
        <v>2.4105699627521258E-2</v>
      </c>
      <c r="D39" s="17">
        <f>'Data Makro Bulanan'!G39</f>
        <v>-7.2463768115941588E-3</v>
      </c>
      <c r="E39" s="17">
        <f>'Data Makro Bulanan'!J39</f>
        <v>2.9166666666666668E-3</v>
      </c>
    </row>
    <row r="40" spans="1:5" x14ac:dyDescent="0.35">
      <c r="A40" s="1">
        <v>44287</v>
      </c>
      <c r="B40" s="11">
        <f>'Data Ri Aset'!B40</f>
        <v>1.6874056055279163E-3</v>
      </c>
      <c r="C40" s="17">
        <f>'Data Makro Bulanan'!D40</f>
        <v>-7.1369750205874279E-3</v>
      </c>
      <c r="D40" s="17">
        <f>'Data Makro Bulanan'!G40</f>
        <v>3.6496350364963411E-2</v>
      </c>
      <c r="E40" s="17">
        <f>'Data Makro Bulanan'!J40</f>
        <v>2.9166666666666668E-3</v>
      </c>
    </row>
    <row r="41" spans="1:5" x14ac:dyDescent="0.35">
      <c r="A41" s="1">
        <v>44317</v>
      </c>
      <c r="B41" s="11">
        <f>'Data Ri Aset'!B41</f>
        <v>-8.0325304138687669E-3</v>
      </c>
      <c r="C41" s="17">
        <f>'Data Makro Bulanan'!D41</f>
        <v>-1.0920652474426321E-2</v>
      </c>
      <c r="D41" s="17">
        <f>'Data Makro Bulanan'!G41</f>
        <v>0.18309859154929578</v>
      </c>
      <c r="E41" s="17">
        <f>'Data Makro Bulanan'!J41</f>
        <v>2.9166666666666668E-3</v>
      </c>
    </row>
    <row r="42" spans="1:5" x14ac:dyDescent="0.35">
      <c r="A42" s="1">
        <v>44348</v>
      </c>
      <c r="B42" s="11">
        <f>'Data Ri Aset'!B42</f>
        <v>6.3943263174531216E-3</v>
      </c>
      <c r="C42" s="17">
        <f>'Data Makro Bulanan'!D42</f>
        <v>1.29979035639413E-2</v>
      </c>
      <c r="D42" s="17">
        <f>'Data Makro Bulanan'!G42</f>
        <v>-0.20833333333333323</v>
      </c>
      <c r="E42" s="17">
        <f>'Data Makro Bulanan'!J42</f>
        <v>2.9166666666666668E-3</v>
      </c>
    </row>
    <row r="43" spans="1:5" x14ac:dyDescent="0.35">
      <c r="A43" s="1">
        <v>44378</v>
      </c>
      <c r="B43" s="11">
        <f>'Data Ri Aset'!B43</f>
        <v>1.4125827626476727E-2</v>
      </c>
      <c r="C43" s="17">
        <f>'Data Makro Bulanan'!D43</f>
        <v>-3.4492273730684329E-4</v>
      </c>
      <c r="D43" s="17">
        <f>'Data Makro Bulanan'!G43</f>
        <v>0.14285714285714277</v>
      </c>
      <c r="E43" s="17">
        <f>'Data Makro Bulanan'!J43</f>
        <v>2.9166666666666668E-3</v>
      </c>
    </row>
    <row r="44" spans="1:5" x14ac:dyDescent="0.35">
      <c r="A44" s="1">
        <v>44409</v>
      </c>
      <c r="B44" s="11">
        <f>'Data Ri Aset'!B44</f>
        <v>1.3222318139583959E-2</v>
      </c>
      <c r="C44" s="17">
        <f>'Data Makro Bulanan'!D44</f>
        <v>-8.0739769512110961E-3</v>
      </c>
      <c r="D44" s="17">
        <f>'Data Makro Bulanan'!G44</f>
        <v>4.6052631578947435E-2</v>
      </c>
      <c r="E44" s="17">
        <f>'Data Makro Bulanan'!J44</f>
        <v>2.9166666666666668E-3</v>
      </c>
    </row>
    <row r="45" spans="1:5" x14ac:dyDescent="0.35">
      <c r="A45" s="1">
        <v>44440</v>
      </c>
      <c r="B45" s="11">
        <f>'Data Ri Aset'!B45</f>
        <v>2.2216802432401577E-2</v>
      </c>
      <c r="C45" s="17">
        <f>'Data Makro Bulanan'!D45</f>
        <v>-4.6611938221789344E-3</v>
      </c>
      <c r="D45" s="17">
        <f>'Data Makro Bulanan'!G45</f>
        <v>6.2893081761005902E-3</v>
      </c>
      <c r="E45" s="17">
        <f>'Data Makro Bulanan'!J45</f>
        <v>2.9166666666666668E-3</v>
      </c>
    </row>
    <row r="46" spans="1:5" x14ac:dyDescent="0.35">
      <c r="A46" s="1">
        <v>44470</v>
      </c>
      <c r="B46" s="11">
        <f>'Data Ri Aset'!B46</f>
        <v>4.8419421849103188E-2</v>
      </c>
      <c r="C46" s="17">
        <f>'Data Makro Bulanan'!D46</f>
        <v>-7.5487523589851122E-3</v>
      </c>
      <c r="D46" s="17">
        <f>'Data Makro Bulanan'!G46</f>
        <v>3.7499999999999992E-2</v>
      </c>
      <c r="E46" s="17">
        <f>'Data Makro Bulanan'!J46</f>
        <v>2.9166666666666668E-3</v>
      </c>
    </row>
    <row r="47" spans="1:5" x14ac:dyDescent="0.35">
      <c r="A47" s="1">
        <v>44501</v>
      </c>
      <c r="B47" s="11">
        <f>'Data Ri Aset'!B47</f>
        <v>-8.7114172362262772E-3</v>
      </c>
      <c r="C47" s="17">
        <f>'Data Makro Bulanan'!D47</f>
        <v>9.9302767800549339E-3</v>
      </c>
      <c r="D47" s="17">
        <f>'Data Makro Bulanan'!G47</f>
        <v>5.4216867469879609E-2</v>
      </c>
      <c r="E47" s="17">
        <f>'Data Makro Bulanan'!J47</f>
        <v>2.9166666666666668E-3</v>
      </c>
    </row>
    <row r="48" spans="1:5" x14ac:dyDescent="0.35">
      <c r="A48" s="1">
        <v>44531</v>
      </c>
      <c r="B48" s="11">
        <f>'Data Ri Aset'!B48</f>
        <v>7.2773966051058502E-3</v>
      </c>
      <c r="C48" s="17">
        <f>'Data Makro Bulanan'!D48</f>
        <v>-4.9511854951185498E-3</v>
      </c>
      <c r="D48" s="17">
        <f>'Data Makro Bulanan'!G48</f>
        <v>6.8571428571428547E-2</v>
      </c>
      <c r="E48" s="17">
        <f>'Data Makro Bulanan'!J48</f>
        <v>2.9166666666666668E-3</v>
      </c>
    </row>
    <row r="49" spans="1:5" x14ac:dyDescent="0.35">
      <c r="A49" s="1">
        <v>44562</v>
      </c>
      <c r="B49" s="11">
        <f>'Data Ri Aset'!B49</f>
        <v>7.5469347320055785E-3</v>
      </c>
      <c r="C49" s="17">
        <f>'Data Makro Bulanan'!D49</f>
        <v>7.849183544747354E-3</v>
      </c>
      <c r="D49" s="17">
        <f>'Data Makro Bulanan'!G49</f>
        <v>0.16577540106951863</v>
      </c>
      <c r="E49" s="17">
        <f>'Data Makro Bulanan'!J49</f>
        <v>2.9166666666666668E-3</v>
      </c>
    </row>
    <row r="50" spans="1:5" x14ac:dyDescent="0.35">
      <c r="A50" s="1">
        <v>44593</v>
      </c>
      <c r="B50" s="11">
        <f>'Data Ri Aset'!B50</f>
        <v>3.8759491189311122E-2</v>
      </c>
      <c r="C50" s="17">
        <f>'Data Makro Bulanan'!D50</f>
        <v>-6.9536193588762946E-4</v>
      </c>
      <c r="D50" s="17">
        <f>'Data Makro Bulanan'!G50</f>
        <v>-5.504587155963301E-2</v>
      </c>
      <c r="E50" s="17">
        <f>'Data Makro Bulanan'!J50</f>
        <v>2.9166666666666668E-3</v>
      </c>
    </row>
    <row r="51" spans="1:5" x14ac:dyDescent="0.35">
      <c r="A51" s="1">
        <v>44621</v>
      </c>
      <c r="B51" s="11">
        <f>'Data Ri Aset'!B51</f>
        <v>2.6606486192994588E-2</v>
      </c>
      <c r="C51" s="17">
        <f>'Data Makro Bulanan'!D51</f>
        <v>-1.5308607612553057E-3</v>
      </c>
      <c r="D51" s="17">
        <f>'Data Makro Bulanan'!G51</f>
        <v>0.28155339805825241</v>
      </c>
      <c r="E51" s="17">
        <f>'Data Makro Bulanan'!J51</f>
        <v>2.9166666666666668E-3</v>
      </c>
    </row>
    <row r="52" spans="1:5" x14ac:dyDescent="0.35">
      <c r="A52" s="1">
        <v>44652</v>
      </c>
      <c r="B52" s="11">
        <f>'Data Ri Aset'!B52</f>
        <v>2.2268448859072587E-2</v>
      </c>
      <c r="C52" s="17">
        <f>'Data Makro Bulanan'!D52</f>
        <v>4.8086974702069834E-3</v>
      </c>
      <c r="D52" s="17">
        <f>'Data Makro Bulanan'!G52</f>
        <v>0.31439393939393945</v>
      </c>
      <c r="E52" s="17">
        <f>'Data Makro Bulanan'!J52</f>
        <v>2.9166666666666668E-3</v>
      </c>
    </row>
    <row r="53" spans="1:5" x14ac:dyDescent="0.35">
      <c r="A53" s="1">
        <v>44682</v>
      </c>
      <c r="B53" s="11">
        <f>'Data Ri Aset'!B53</f>
        <v>-1.105837532906062E-2</v>
      </c>
      <c r="C53" s="17">
        <f>'Data Makro Bulanan'!D53</f>
        <v>8.7390761548064924E-3</v>
      </c>
      <c r="D53" s="17">
        <f>'Data Makro Bulanan'!G53</f>
        <v>2.3054755043227525E-2</v>
      </c>
      <c r="E53" s="17">
        <f>'Data Makro Bulanan'!J53</f>
        <v>2.9166666666666668E-3</v>
      </c>
    </row>
    <row r="54" spans="1:5" x14ac:dyDescent="0.35">
      <c r="A54" s="1">
        <v>44713</v>
      </c>
      <c r="B54" s="11">
        <f>'Data Ri Aset'!B54</f>
        <v>-3.3206182149316657E-2</v>
      </c>
      <c r="C54" s="17">
        <f>'Data Makro Bulanan'!D54</f>
        <v>2.0902090209020903E-2</v>
      </c>
      <c r="D54" s="17">
        <f>'Data Makro Bulanan'!G54</f>
        <v>0.22535211267605637</v>
      </c>
      <c r="E54" s="17">
        <f>'Data Makro Bulanan'!J54</f>
        <v>2.9166666666666668E-3</v>
      </c>
    </row>
    <row r="55" spans="1:5" x14ac:dyDescent="0.35">
      <c r="A55" s="1">
        <v>44743</v>
      </c>
      <c r="B55" s="11">
        <f>'Data Ri Aset'!B55</f>
        <v>5.7208337312163017E-3</v>
      </c>
      <c r="C55" s="17">
        <f>'Data Makro Bulanan'!D55</f>
        <v>7.4084051724137932E-3</v>
      </c>
      <c r="D55" s="17">
        <f>'Data Makro Bulanan'!G55</f>
        <v>0.13563218390804621</v>
      </c>
      <c r="E55" s="17">
        <f>'Data Makro Bulanan'!J55</f>
        <v>2.9166666666666668E-3</v>
      </c>
    </row>
    <row r="56" spans="1:5" x14ac:dyDescent="0.35">
      <c r="A56" s="1">
        <v>44774</v>
      </c>
      <c r="B56" s="11">
        <f>'Data Ri Aset'!B56</f>
        <v>3.2724222859050092E-2</v>
      </c>
      <c r="C56" s="17">
        <f>'Data Makro Bulanan'!D56</f>
        <v>-5.5488701698087981E-3</v>
      </c>
      <c r="D56" s="17">
        <f>'Data Makro Bulanan'!G56</f>
        <v>-5.0607287449392753E-2</v>
      </c>
      <c r="E56" s="17">
        <f>'Data Makro Bulanan'!J56</f>
        <v>3.1249999999999997E-3</v>
      </c>
    </row>
    <row r="57" spans="1:5" x14ac:dyDescent="0.35">
      <c r="A57" s="1">
        <v>44805</v>
      </c>
      <c r="B57" s="11">
        <f>'Data Ri Aset'!B57</f>
        <v>-1.919457720805896E-2</v>
      </c>
      <c r="C57" s="17">
        <f>'Data Makro Bulanan'!D57</f>
        <v>2.5008403361344536E-2</v>
      </c>
      <c r="D57" s="17">
        <f>'Data Makro Bulanan'!G57</f>
        <v>0.26865671641791045</v>
      </c>
      <c r="E57" s="17">
        <f>'Data Makro Bulanan'!J57</f>
        <v>3.5416666666666669E-3</v>
      </c>
    </row>
    <row r="58" spans="1:5" x14ac:dyDescent="0.35">
      <c r="A58" s="1">
        <v>44835</v>
      </c>
      <c r="B58" s="11">
        <f>'Data Ri Aset'!B58</f>
        <v>8.2504828996705117E-3</v>
      </c>
      <c r="C58" s="17">
        <f>'Data Makro Bulanan'!D58</f>
        <v>1.934806847248639E-2</v>
      </c>
      <c r="D58" s="17">
        <f>'Data Makro Bulanan'!G58</f>
        <v>-4.0336134453781612E-2</v>
      </c>
      <c r="E58" s="17">
        <f>'Data Makro Bulanan'!J58</f>
        <v>3.9583333333333337E-3</v>
      </c>
    </row>
    <row r="59" spans="1:5" x14ac:dyDescent="0.35">
      <c r="A59" s="1">
        <v>44866</v>
      </c>
      <c r="B59" s="11">
        <f>'Data Ri Aset'!B59</f>
        <v>-2.4764435003218708E-3</v>
      </c>
      <c r="C59" s="17">
        <f>'Data Makro Bulanan'!D59</f>
        <v>1.2546647793076824E-2</v>
      </c>
      <c r="D59" s="17">
        <f>'Data Makro Bulanan'!G59</f>
        <v>-5.0788091068301226E-2</v>
      </c>
      <c r="E59" s="17">
        <f>'Data Makro Bulanan'!J59</f>
        <v>4.3749999999999995E-3</v>
      </c>
    </row>
    <row r="60" spans="1:5" x14ac:dyDescent="0.35">
      <c r="A60" s="1">
        <v>44896</v>
      </c>
      <c r="B60" s="11">
        <f>'Data Ri Aset'!B60</f>
        <v>-3.2577305611532402E-2</v>
      </c>
      <c r="C60" s="17">
        <f>'Data Makro Bulanan'!D60</f>
        <v>-3.8126707758785028E-4</v>
      </c>
      <c r="D60" s="17">
        <f>'Data Makro Bulanan'!G60</f>
        <v>1.6605166051660479E-2</v>
      </c>
      <c r="E60" s="17">
        <f>'Data Makro Bulanan'!J60</f>
        <v>4.5833333333333334E-3</v>
      </c>
    </row>
    <row r="61" spans="1:5" x14ac:dyDescent="0.35">
      <c r="A61" s="1">
        <v>44927</v>
      </c>
      <c r="B61" s="11">
        <f>'Data Ri Aset'!B61</f>
        <v>-1.6465662961892128E-3</v>
      </c>
      <c r="C61" s="17">
        <f>'Data Makro Bulanan'!D61</f>
        <v>-4.780369970122688E-2</v>
      </c>
      <c r="D61" s="17">
        <f>'Data Makro Bulanan'!G61</f>
        <v>-4.1742286751361102E-2</v>
      </c>
      <c r="E61" s="17">
        <f>'Data Makro Bulanan'!J61</f>
        <v>4.7916666666666672E-3</v>
      </c>
    </row>
    <row r="62" spans="1:5" x14ac:dyDescent="0.35">
      <c r="A62" s="1">
        <v>44958</v>
      </c>
      <c r="B62" s="11">
        <f>'Data Ri Aset'!B62</f>
        <v>5.7023046083388691E-4</v>
      </c>
      <c r="C62" s="17">
        <f>'Data Makro Bulanan'!D62</f>
        <v>1.9694238600707657E-2</v>
      </c>
      <c r="D62" s="17">
        <f>'Data Makro Bulanan'!G62</f>
        <v>3.5984848484848467E-2</v>
      </c>
      <c r="E62" s="17">
        <f>'Data Makro Bulanan'!J62</f>
        <v>4.7916666666666672E-3</v>
      </c>
    </row>
    <row r="63" spans="1:5" x14ac:dyDescent="0.35">
      <c r="A63" s="1">
        <v>44986</v>
      </c>
      <c r="B63" s="11">
        <f>'Data Ri Aset'!B63</f>
        <v>-5.5470800381106078E-3</v>
      </c>
      <c r="C63" s="17">
        <f>'Data Makro Bulanan'!D63</f>
        <v>-1.3879795731308105E-2</v>
      </c>
      <c r="D63" s="17">
        <f>'Data Makro Bulanan'!G63</f>
        <v>-9.1407678244972659E-2</v>
      </c>
      <c r="E63" s="17">
        <f>'Data Makro Bulanan'!J63</f>
        <v>4.7916666666666672E-3</v>
      </c>
    </row>
    <row r="64" spans="1:5" x14ac:dyDescent="0.35">
      <c r="A64" s="1">
        <v>45017</v>
      </c>
      <c r="B64" s="11">
        <f>'Data Ri Aset'!B64</f>
        <v>1.6228575459055396E-2</v>
      </c>
      <c r="C64" s="17">
        <f>'Data Makro Bulanan'!D64</f>
        <v>-2.0647988314964814E-2</v>
      </c>
      <c r="D64" s="17">
        <f>'Data Makro Bulanan'!G64</f>
        <v>-0.12877263581488926</v>
      </c>
      <c r="E64" s="17">
        <f>'Data Makro Bulanan'!J64</f>
        <v>4.7916666666666672E-3</v>
      </c>
    </row>
    <row r="65" spans="1:5" x14ac:dyDescent="0.35">
      <c r="A65" s="1">
        <v>45047</v>
      </c>
      <c r="B65" s="11">
        <f>'Data Ri Aset'!B65</f>
        <v>-4.0843180464217754E-2</v>
      </c>
      <c r="C65" s="17">
        <f>'Data Makro Bulanan'!D65</f>
        <v>1.4778659073961087E-2</v>
      </c>
      <c r="D65" s="17">
        <f>'Data Makro Bulanan'!G65</f>
        <v>-7.6212471131639661E-2</v>
      </c>
      <c r="E65" s="17">
        <f>'Data Makro Bulanan'!J65</f>
        <v>4.7916666666666672E-3</v>
      </c>
    </row>
    <row r="66" spans="1:5" x14ac:dyDescent="0.35">
      <c r="A66" s="1">
        <v>45078</v>
      </c>
      <c r="B66" s="11">
        <f>'Data Ri Aset'!B66</f>
        <v>4.3146205636444054E-3</v>
      </c>
      <c r="C66" s="17">
        <f>'Data Makro Bulanan'!D66</f>
        <v>3.8078695971674793E-3</v>
      </c>
      <c r="D66" s="17">
        <f>'Data Makro Bulanan'!G66</f>
        <v>-0.11999999999999997</v>
      </c>
      <c r="E66" s="17">
        <f>'Data Makro Bulanan'!J66</f>
        <v>4.7916666666666672E-3</v>
      </c>
    </row>
    <row r="67" spans="1:5" x14ac:dyDescent="0.35">
      <c r="A67" s="1">
        <v>45108</v>
      </c>
      <c r="B67" s="11">
        <f>'Data Ri Aset'!B67</f>
        <v>4.0451043849483864E-2</v>
      </c>
      <c r="C67" s="17">
        <f>'Data Makro Bulanan'!D67</f>
        <v>3.7934247304671903E-3</v>
      </c>
      <c r="D67" s="17">
        <f>'Data Makro Bulanan'!G67</f>
        <v>-0.12500000000000003</v>
      </c>
      <c r="E67" s="17">
        <f>'Data Makro Bulanan'!J67</f>
        <v>4.7916666666666672E-3</v>
      </c>
    </row>
    <row r="68" spans="1:5" x14ac:dyDescent="0.35">
      <c r="A68" s="1">
        <v>45139</v>
      </c>
      <c r="B68" s="11">
        <f>'Data Ri Aset'!B68</f>
        <v>3.1595531035757121E-3</v>
      </c>
      <c r="C68" s="17">
        <f>'Data Makro Bulanan'!D68</f>
        <v>1.0342770005966983E-2</v>
      </c>
      <c r="D68" s="17">
        <f>'Data Makro Bulanan'!G68</f>
        <v>6.1688311688311653E-2</v>
      </c>
      <c r="E68" s="17">
        <f>'Data Makro Bulanan'!J68</f>
        <v>4.7916666666666672E-3</v>
      </c>
    </row>
    <row r="69" spans="1:5" x14ac:dyDescent="0.35">
      <c r="A69" s="1">
        <v>45170</v>
      </c>
      <c r="B69" s="11">
        <f>'Data Ri Aset'!B69</f>
        <v>-1.9228390711694789E-3</v>
      </c>
      <c r="C69" s="17">
        <f>'Data Makro Bulanan'!D69</f>
        <v>1.8833256775378962E-2</v>
      </c>
      <c r="D69" s="17">
        <f>'Data Makro Bulanan'!G69</f>
        <v>-0.30275229357798172</v>
      </c>
      <c r="E69" s="17">
        <f>'Data Makro Bulanan'!J69</f>
        <v>4.7916666666666672E-3</v>
      </c>
    </row>
    <row r="70" spans="1:5" x14ac:dyDescent="0.35">
      <c r="A70" s="1">
        <v>45200</v>
      </c>
      <c r="B70" s="11">
        <f>'Data Ri Aset'!B70</f>
        <v>-3.4333397215229697E-2</v>
      </c>
      <c r="C70" s="17">
        <f>'Data Makro Bulanan'!D70</f>
        <v>2.5119154965863713E-2</v>
      </c>
      <c r="D70" s="17">
        <f>'Data Makro Bulanan'!G70</f>
        <v>0.12280701754385984</v>
      </c>
      <c r="E70" s="17">
        <f>'Data Makro Bulanan'!J70</f>
        <v>5.0000000000000001E-3</v>
      </c>
    </row>
    <row r="71" spans="1:5" x14ac:dyDescent="0.35">
      <c r="A71" s="1">
        <v>45231</v>
      </c>
      <c r="B71" s="11">
        <f>'Data Ri Aset'!B71</f>
        <v>5.6571396169881299E-2</v>
      </c>
      <c r="C71" s="17">
        <f>'Data Makro Bulanan'!D71</f>
        <v>-5.441065594370445E-2</v>
      </c>
      <c r="D71" s="17">
        <f>'Data Makro Bulanan'!G71</f>
        <v>0.11718749999999996</v>
      </c>
      <c r="E71" s="17">
        <f>'Data Makro Bulanan'!J71</f>
        <v>5.0000000000000001E-3</v>
      </c>
    </row>
    <row r="72" spans="1:5" x14ac:dyDescent="0.35">
      <c r="A72" s="1">
        <v>45261</v>
      </c>
      <c r="B72" s="11">
        <f>'Data Ri Aset'!B72</f>
        <v>2.7124283620073665E-2</v>
      </c>
      <c r="C72" s="17">
        <f>'Data Makro Bulanan'!D72</f>
        <v>2.2923588039867111E-2</v>
      </c>
      <c r="D72" s="17">
        <f>'Data Makro Bulanan'!G72</f>
        <v>-8.7412587412587492E-2</v>
      </c>
      <c r="E72" s="17">
        <f>'Data Makro Bulanan'!J72</f>
        <v>5.0000000000000001E-3</v>
      </c>
    </row>
    <row r="73" spans="1:5" x14ac:dyDescent="0.35">
      <c r="A73" s="1">
        <v>45292</v>
      </c>
      <c r="B73" s="11">
        <f>'Data Ri Aset'!B73</f>
        <v>-8.9181608183918955E-3</v>
      </c>
      <c r="C73" s="17">
        <f>'Data Makro Bulanan'!D73</f>
        <v>2.4683338746346217E-2</v>
      </c>
      <c r="D73" s="17">
        <f>'Data Makro Bulanan'!G73</f>
        <v>-1.53256704980842E-2</v>
      </c>
      <c r="E73" s="17">
        <f>'Data Makro Bulanan'!J73</f>
        <v>5.0000000000000001E-3</v>
      </c>
    </row>
    <row r="74" spans="1:5" x14ac:dyDescent="0.35">
      <c r="A74" s="1">
        <v>45323</v>
      </c>
      <c r="B74" s="11">
        <f>'Data Ri Aset'!B74</f>
        <v>1.5007061657006035E-2</v>
      </c>
      <c r="C74" s="17">
        <f>'Data Makro Bulanan'!D74</f>
        <v>2.4683338746346217E-2</v>
      </c>
      <c r="D74" s="17">
        <f>'Data Makro Bulanan'!G74</f>
        <v>-1.53256704980842E-2</v>
      </c>
      <c r="E74" s="17">
        <f>'Data Makro Bulanan'!J74</f>
        <v>5.0000000000000001E-3</v>
      </c>
    </row>
    <row r="75" spans="1:5" x14ac:dyDescent="0.35">
      <c r="A75" s="1">
        <v>45352</v>
      </c>
      <c r="B75" s="11">
        <f>'Data Ri Aset'!B75</f>
        <v>-3.731491188623363E-3</v>
      </c>
      <c r="C75" s="17">
        <f>'Data Makro Bulanan'!D75</f>
        <v>-4.1204437400950873E-3</v>
      </c>
      <c r="D75" s="17">
        <f>'Data Makro Bulanan'!G75</f>
        <v>7.0038910505836549E-2</v>
      </c>
      <c r="E75" s="17">
        <f>'Data Makro Bulanan'!J75</f>
        <v>5.0000000000000001E-3</v>
      </c>
    </row>
    <row r="76" spans="1:5" x14ac:dyDescent="0.35">
      <c r="A76" s="1">
        <v>45383</v>
      </c>
      <c r="B76" s="11">
        <f>'Data Ri Aset'!B76</f>
        <v>-7.4923067002707682E-3</v>
      </c>
      <c r="C76" s="17">
        <f>'Data Makro Bulanan'!D76</f>
        <v>8.9115213239974542E-3</v>
      </c>
      <c r="D76" s="17">
        <f>'Data Makro Bulanan'!G76</f>
        <v>0.10909090909090906</v>
      </c>
      <c r="E76" s="17">
        <f>'Data Makro Bulanan'!J76</f>
        <v>5.0000000000000001E-3</v>
      </c>
    </row>
    <row r="77" spans="1:5" x14ac:dyDescent="0.35">
      <c r="A77" s="1">
        <v>45413</v>
      </c>
      <c r="B77" s="11">
        <f>'Data Ri Aset'!B77</f>
        <v>-3.6418677946421174E-2</v>
      </c>
      <c r="C77" s="17">
        <f>'Data Makro Bulanan'!D77</f>
        <v>2.5552050473186119E-2</v>
      </c>
      <c r="D77" s="17">
        <f>'Data Makro Bulanan'!G77</f>
        <v>-1.6393442622950834E-2</v>
      </c>
      <c r="E77" s="17">
        <f>'Data Makro Bulanan'!J77</f>
        <v>5.208333333333333E-3</v>
      </c>
    </row>
    <row r="78" spans="1:5" x14ac:dyDescent="0.35">
      <c r="A78" s="1">
        <v>45444</v>
      </c>
      <c r="B78" s="11">
        <f>'Data Ri Aset'!B78</f>
        <v>1.3318528592373284E-2</v>
      </c>
      <c r="C78" s="17">
        <f>'Data Makro Bulanan'!D78</f>
        <v>-6.1519532451553372E-4</v>
      </c>
      <c r="D78" s="17">
        <f>'Data Makro Bulanan'!G78</f>
        <v>-5.3333333333333247E-2</v>
      </c>
      <c r="E78" s="17">
        <f>'Data Makro Bulanan'!J78</f>
        <v>5.208333333333333E-3</v>
      </c>
    </row>
    <row r="79" spans="1:5" x14ac:dyDescent="0.35">
      <c r="A79" s="1">
        <v>45474</v>
      </c>
      <c r="B79" s="11">
        <f>'Data Ri Aset'!B79</f>
        <v>2.720716690403454E-2</v>
      </c>
      <c r="C79" s="17">
        <f>'Data Makro Bulanan'!D79</f>
        <v>6.4635272391505077E-3</v>
      </c>
      <c r="D79" s="17">
        <f>'Data Makro Bulanan'!G79</f>
        <v>-0.11619718309859157</v>
      </c>
      <c r="E79" s="17">
        <f>'Data Makro Bulanan'!J79</f>
        <v>5.208333333333333E-3</v>
      </c>
    </row>
    <row r="80" spans="1:5" x14ac:dyDescent="0.35">
      <c r="A80" s="1">
        <v>45505</v>
      </c>
      <c r="B80" s="11">
        <f>'Data Ri Aset'!B80</f>
        <v>5.7191803477512945E-2</v>
      </c>
      <c r="C80" s="17">
        <f>'Data Makro Bulanan'!D80</f>
        <v>-5.8103975535168193E-3</v>
      </c>
      <c r="D80" s="17">
        <f>'Data Makro Bulanan'!G80</f>
        <v>-0.15139442231075703</v>
      </c>
      <c r="E80" s="17">
        <f>'Data Makro Bulanan'!J80</f>
        <v>5.208333333333333E-3</v>
      </c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  <row r="102" spans="1:1" x14ac:dyDescent="0.35">
      <c r="A102" s="1"/>
    </row>
    <row r="103" spans="1:1" x14ac:dyDescent="0.35">
      <c r="A103" s="1"/>
    </row>
    <row r="104" spans="1:1" x14ac:dyDescent="0.35">
      <c r="A104" s="1"/>
    </row>
    <row r="105" spans="1:1" x14ac:dyDescent="0.35">
      <c r="A105" s="1"/>
    </row>
    <row r="106" spans="1:1" x14ac:dyDescent="0.35">
      <c r="A106" s="1"/>
    </row>
    <row r="107" spans="1:1" x14ac:dyDescent="0.35">
      <c r="A107" s="1"/>
    </row>
    <row r="108" spans="1:1" x14ac:dyDescent="0.35">
      <c r="A108" s="1"/>
    </row>
    <row r="109" spans="1:1" x14ac:dyDescent="0.35">
      <c r="A109" s="1"/>
    </row>
    <row r="110" spans="1:1" x14ac:dyDescent="0.35">
      <c r="A110" s="1"/>
    </row>
    <row r="111" spans="1:1" x14ac:dyDescent="0.35">
      <c r="A111" s="1"/>
    </row>
    <row r="112" spans="1:1" x14ac:dyDescent="0.35">
      <c r="A112" s="1"/>
    </row>
    <row r="113" spans="1:1" x14ac:dyDescent="0.35">
      <c r="A113" s="1"/>
    </row>
    <row r="114" spans="1:1" x14ac:dyDescent="0.35">
      <c r="A114" s="1"/>
    </row>
    <row r="115" spans="1:1" x14ac:dyDescent="0.35">
      <c r="A115" s="1"/>
    </row>
    <row r="116" spans="1:1" x14ac:dyDescent="0.35">
      <c r="A116" s="1"/>
    </row>
    <row r="117" spans="1:1" x14ac:dyDescent="0.35">
      <c r="A117" s="1"/>
    </row>
    <row r="118" spans="1:1" x14ac:dyDescent="0.35">
      <c r="A118" s="1"/>
    </row>
    <row r="119" spans="1:1" x14ac:dyDescent="0.35">
      <c r="A119" s="1"/>
    </row>
    <row r="120" spans="1:1" x14ac:dyDescent="0.35">
      <c r="A120" s="1"/>
    </row>
    <row r="121" spans="1:1" x14ac:dyDescent="0.35">
      <c r="A121" s="1"/>
    </row>
    <row r="122" spans="1:1" x14ac:dyDescent="0.35">
      <c r="A122" s="1"/>
    </row>
    <row r="123" spans="1:1" x14ac:dyDescent="0.35">
      <c r="A123" s="1"/>
    </row>
    <row r="124" spans="1:1" x14ac:dyDescent="0.35">
      <c r="A124" s="1"/>
    </row>
    <row r="125" spans="1:1" x14ac:dyDescent="0.35">
      <c r="A125" s="1"/>
    </row>
    <row r="126" spans="1:1" x14ac:dyDescent="0.35">
      <c r="A126" s="1"/>
    </row>
    <row r="127" spans="1:1" x14ac:dyDescent="0.35">
      <c r="A127" s="1"/>
    </row>
    <row r="128" spans="1:1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  <row r="173" spans="1:1" x14ac:dyDescent="0.35">
      <c r="A173" s="1"/>
    </row>
    <row r="174" spans="1:1" x14ac:dyDescent="0.35">
      <c r="A174" s="1"/>
    </row>
    <row r="175" spans="1:1" x14ac:dyDescent="0.35">
      <c r="A175" s="1"/>
    </row>
    <row r="176" spans="1:1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  <row r="214" spans="1:1" x14ac:dyDescent="0.35">
      <c r="A214" s="1"/>
    </row>
    <row r="215" spans="1:1" x14ac:dyDescent="0.35">
      <c r="A215" s="1"/>
    </row>
    <row r="216" spans="1:1" x14ac:dyDescent="0.35">
      <c r="A216" s="1"/>
    </row>
    <row r="217" spans="1:1" x14ac:dyDescent="0.35">
      <c r="A217" s="1"/>
    </row>
    <row r="218" spans="1:1" x14ac:dyDescent="0.35">
      <c r="A218" s="1"/>
    </row>
    <row r="219" spans="1:1" x14ac:dyDescent="0.35">
      <c r="A219" s="1"/>
    </row>
    <row r="220" spans="1:1" x14ac:dyDescent="0.35">
      <c r="A220" s="1"/>
    </row>
    <row r="221" spans="1:1" x14ac:dyDescent="0.35">
      <c r="A221" s="1"/>
    </row>
    <row r="222" spans="1:1" x14ac:dyDescent="0.35">
      <c r="A222" s="1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  <row r="277" spans="1:1" x14ac:dyDescent="0.35">
      <c r="A277" s="1"/>
    </row>
    <row r="278" spans="1:1" x14ac:dyDescent="0.35">
      <c r="A278" s="1"/>
    </row>
    <row r="279" spans="1:1" x14ac:dyDescent="0.35">
      <c r="A279" s="1"/>
    </row>
    <row r="280" spans="1:1" x14ac:dyDescent="0.35">
      <c r="A280" s="1"/>
    </row>
    <row r="281" spans="1:1" x14ac:dyDescent="0.35">
      <c r="A281" s="1"/>
    </row>
    <row r="282" spans="1:1" x14ac:dyDescent="0.35">
      <c r="A282" s="1"/>
    </row>
    <row r="283" spans="1:1" x14ac:dyDescent="0.35">
      <c r="A283" s="1"/>
    </row>
    <row r="284" spans="1:1" x14ac:dyDescent="0.35">
      <c r="A284" s="1"/>
    </row>
    <row r="285" spans="1:1" x14ac:dyDescent="0.35">
      <c r="A285" s="1"/>
    </row>
    <row r="286" spans="1:1" x14ac:dyDescent="0.35">
      <c r="A286" s="1"/>
    </row>
    <row r="287" spans="1:1" x14ac:dyDescent="0.35">
      <c r="A287" s="1"/>
    </row>
    <row r="288" spans="1:1" x14ac:dyDescent="0.35">
      <c r="A288" s="1"/>
    </row>
    <row r="289" spans="1:1" x14ac:dyDescent="0.35">
      <c r="A289" s="1"/>
    </row>
    <row r="290" spans="1:1" x14ac:dyDescent="0.35">
      <c r="A290" s="1"/>
    </row>
    <row r="291" spans="1:1" x14ac:dyDescent="0.35">
      <c r="A291" s="1"/>
    </row>
    <row r="292" spans="1:1" x14ac:dyDescent="0.35">
      <c r="A292" s="1"/>
    </row>
    <row r="293" spans="1:1" x14ac:dyDescent="0.35">
      <c r="A293" s="1"/>
    </row>
    <row r="294" spans="1:1" x14ac:dyDescent="0.35">
      <c r="A294" s="1"/>
    </row>
    <row r="295" spans="1:1" x14ac:dyDescent="0.35">
      <c r="A295" s="1"/>
    </row>
    <row r="296" spans="1:1" x14ac:dyDescent="0.35">
      <c r="A296" s="1"/>
    </row>
    <row r="297" spans="1:1" x14ac:dyDescent="0.35">
      <c r="A297" s="1"/>
    </row>
    <row r="298" spans="1:1" x14ac:dyDescent="0.35">
      <c r="A298" s="1"/>
    </row>
    <row r="299" spans="1:1" x14ac:dyDescent="0.35">
      <c r="A299" s="1"/>
    </row>
    <row r="300" spans="1:1" x14ac:dyDescent="0.35">
      <c r="A300" s="1"/>
    </row>
    <row r="301" spans="1:1" x14ac:dyDescent="0.35">
      <c r="A301" s="1"/>
    </row>
    <row r="302" spans="1:1" x14ac:dyDescent="0.35">
      <c r="A302" s="1"/>
    </row>
    <row r="303" spans="1:1" x14ac:dyDescent="0.35">
      <c r="A303" s="1"/>
    </row>
    <row r="304" spans="1:1" x14ac:dyDescent="0.35">
      <c r="A304" s="1"/>
    </row>
    <row r="305" spans="1:1" x14ac:dyDescent="0.35">
      <c r="A305" s="1"/>
    </row>
    <row r="306" spans="1:1" x14ac:dyDescent="0.35">
      <c r="A306" s="1"/>
    </row>
    <row r="307" spans="1:1" x14ac:dyDescent="0.35">
      <c r="A307" s="1"/>
    </row>
    <row r="308" spans="1:1" x14ac:dyDescent="0.35">
      <c r="A308" s="1"/>
    </row>
    <row r="309" spans="1:1" x14ac:dyDescent="0.35">
      <c r="A309" s="1"/>
    </row>
    <row r="310" spans="1:1" x14ac:dyDescent="0.35">
      <c r="A310" s="1"/>
    </row>
    <row r="311" spans="1:1" x14ac:dyDescent="0.35">
      <c r="A311" s="1"/>
    </row>
    <row r="312" spans="1:1" x14ac:dyDescent="0.35">
      <c r="A312" s="1"/>
    </row>
    <row r="313" spans="1:1" x14ac:dyDescent="0.35">
      <c r="A313" s="1"/>
    </row>
    <row r="314" spans="1:1" x14ac:dyDescent="0.35">
      <c r="A314" s="1"/>
    </row>
    <row r="315" spans="1:1" x14ac:dyDescent="0.35">
      <c r="A315" s="1"/>
    </row>
    <row r="316" spans="1:1" x14ac:dyDescent="0.35">
      <c r="A316" s="1"/>
    </row>
    <row r="317" spans="1:1" x14ac:dyDescent="0.35">
      <c r="A3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Ri Aset</vt:lpstr>
      <vt:lpstr>Data Makro Bulanan</vt:lpstr>
      <vt:lpstr>Independent Variables</vt:lpstr>
      <vt:lpstr>Rf</vt:lpstr>
      <vt:lpstr>Data Siap</vt:lpstr>
      <vt:lpstr>Market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Mita Nia</dc:creator>
  <cp:lastModifiedBy>Juli Yandi Rahman</cp:lastModifiedBy>
  <dcterms:created xsi:type="dcterms:W3CDTF">2024-03-26T02:54:13Z</dcterms:created>
  <dcterms:modified xsi:type="dcterms:W3CDTF">2025-03-24T21:32:10Z</dcterms:modified>
</cp:coreProperties>
</file>